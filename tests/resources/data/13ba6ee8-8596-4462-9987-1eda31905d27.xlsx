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nina\src\git_idea\pynanomapper\tests\resources\data\"/>
    </mc:Choice>
  </mc:AlternateContent>
  <bookViews>
    <workbookView xWindow="0" yWindow="0" windowWidth="23040" windowHeight="9192"/>
  </bookViews>
  <sheets>
    <sheet name="Test_conditions" sheetId="1" r:id="rId1"/>
    <sheet name="Raw_data_TABLE" sheetId="2" r:id="rId2"/>
    <sheet name="Results_TABLE" sheetId="3" r:id="rId3"/>
    <sheet name="Materials" sheetId="4" r:id="rId4"/>
    <sheet name="plate_metadata" sheetId="5" r:id="rId5"/>
    <sheet name="plate_readout" sheetId="6" r:id="rId6"/>
    <sheet name="plate_materials" sheetId="7" r:id="rId7"/>
    <sheet name="plate_table" sheetId="8" r:id="rId8"/>
    <sheet name="TemplateDesigner" sheetId="9" state="hidden" r:id="rId9"/>
  </sheets>
  <definedNames>
    <definedName name="ERM_Identifiers">Materials!$B:$B</definedName>
  </definedNames>
  <calcPr calcId="162913"/>
</workbook>
</file>

<file path=xl/calcChain.xml><?xml version="1.0" encoding="utf-8"?>
<calcChain xmlns="http://schemas.openxmlformats.org/spreadsheetml/2006/main">
  <c r="E12" i="2" l="1"/>
  <c r="E13" i="2" s="1"/>
  <c r="E14" i="2" s="1"/>
  <c r="E9" i="2"/>
  <c r="E10" i="2" s="1"/>
  <c r="E11" i="2" s="1"/>
  <c r="E6" i="2"/>
  <c r="E7" i="2" s="1"/>
  <c r="E8" i="2" s="1"/>
  <c r="E3" i="2"/>
  <c r="E4" i="2" s="1"/>
  <c r="E5" i="2" s="1"/>
  <c r="C31" i="1"/>
  <c r="C29" i="1"/>
  <c r="C28" i="1"/>
  <c r="C27" i="1"/>
  <c r="C26" i="1"/>
  <c r="G97" i="8"/>
  <c r="F97" i="8"/>
  <c r="E97" i="8"/>
  <c r="D97" i="8"/>
  <c r="G96" i="8"/>
  <c r="E96" i="8"/>
  <c r="D96" i="8"/>
  <c r="G95" i="8"/>
  <c r="E95" i="8"/>
  <c r="D95" i="8"/>
  <c r="G94" i="8"/>
  <c r="E94" i="8"/>
  <c r="D94" i="8"/>
  <c r="G93" i="8"/>
  <c r="E93" i="8"/>
  <c r="D93" i="8"/>
  <c r="G92" i="8"/>
  <c r="E92" i="8"/>
  <c r="D92" i="8"/>
  <c r="G91" i="8"/>
  <c r="E91" i="8"/>
  <c r="D91" i="8"/>
  <c r="G90" i="8"/>
  <c r="E90" i="8"/>
  <c r="D90" i="8"/>
  <c r="G89" i="8"/>
  <c r="E89" i="8"/>
  <c r="D89" i="8"/>
  <c r="G88" i="8"/>
  <c r="E88" i="8"/>
  <c r="D88" i="8"/>
  <c r="G87" i="8"/>
  <c r="E87" i="8"/>
  <c r="D87" i="8"/>
  <c r="G86" i="8"/>
  <c r="E86" i="8"/>
  <c r="D86" i="8"/>
  <c r="G85" i="8"/>
  <c r="E85" i="8"/>
  <c r="D85" i="8"/>
  <c r="G84" i="8"/>
  <c r="E84" i="8"/>
  <c r="D84" i="8"/>
  <c r="G83" i="8"/>
  <c r="E83" i="8"/>
  <c r="D83" i="8"/>
  <c r="G82" i="8"/>
  <c r="E82" i="8"/>
  <c r="D82" i="8"/>
  <c r="G81" i="8"/>
  <c r="E81" i="8"/>
  <c r="D81" i="8"/>
  <c r="G80" i="8"/>
  <c r="E80" i="8"/>
  <c r="D80" i="8"/>
  <c r="G79" i="8"/>
  <c r="E79" i="8"/>
  <c r="D79" i="8"/>
  <c r="G78" i="8"/>
  <c r="E78" i="8"/>
  <c r="D78" i="8"/>
  <c r="G77" i="8"/>
  <c r="E77" i="8"/>
  <c r="D77" i="8"/>
  <c r="G76" i="8"/>
  <c r="E76" i="8"/>
  <c r="D76" i="8"/>
  <c r="G75" i="8"/>
  <c r="E75" i="8"/>
  <c r="D75" i="8"/>
  <c r="G74" i="8"/>
  <c r="E74" i="8"/>
  <c r="D74" i="8"/>
  <c r="G73" i="8"/>
  <c r="E73" i="8"/>
  <c r="D73" i="8"/>
  <c r="G72" i="8"/>
  <c r="E72" i="8"/>
  <c r="D72" i="8"/>
  <c r="G71" i="8"/>
  <c r="E71" i="8"/>
  <c r="D71" i="8"/>
  <c r="G70" i="8"/>
  <c r="E70" i="8"/>
  <c r="D70" i="8"/>
  <c r="G69" i="8"/>
  <c r="E69" i="8"/>
  <c r="D69" i="8"/>
  <c r="G68" i="8"/>
  <c r="E68" i="8"/>
  <c r="D68" i="8"/>
  <c r="G67" i="8"/>
  <c r="E67" i="8"/>
  <c r="D67" i="8"/>
  <c r="G66" i="8"/>
  <c r="E66" i="8"/>
  <c r="D66" i="8"/>
  <c r="G65" i="8"/>
  <c r="E65" i="8"/>
  <c r="D65" i="8"/>
  <c r="G64" i="8"/>
  <c r="E64" i="8"/>
  <c r="D64" i="8"/>
  <c r="G63" i="8"/>
  <c r="E63" i="8"/>
  <c r="D63" i="8"/>
  <c r="G62" i="8"/>
  <c r="E62" i="8"/>
  <c r="D62" i="8"/>
  <c r="G61" i="8"/>
  <c r="E61" i="8"/>
  <c r="D61" i="8"/>
  <c r="G60" i="8"/>
  <c r="E60" i="8"/>
  <c r="D60" i="8"/>
  <c r="G59" i="8"/>
  <c r="E59" i="8"/>
  <c r="D59" i="8"/>
  <c r="G58" i="8"/>
  <c r="E58" i="8"/>
  <c r="D58" i="8"/>
  <c r="G57" i="8"/>
  <c r="E57" i="8"/>
  <c r="D57" i="8"/>
  <c r="G56" i="8"/>
  <c r="E56" i="8"/>
  <c r="D56" i="8"/>
  <c r="G55" i="8"/>
  <c r="E55" i="8"/>
  <c r="D55" i="8"/>
  <c r="G54" i="8"/>
  <c r="E54" i="8"/>
  <c r="D54" i="8"/>
  <c r="G53" i="8"/>
  <c r="E53" i="8"/>
  <c r="D53" i="8"/>
  <c r="G52" i="8"/>
  <c r="E52" i="8"/>
  <c r="D52" i="8"/>
  <c r="G51" i="8"/>
  <c r="E51" i="8"/>
  <c r="D51" i="8"/>
  <c r="G50" i="8"/>
  <c r="E50" i="8"/>
  <c r="D50" i="8"/>
  <c r="G49" i="8"/>
  <c r="F49" i="8"/>
  <c r="E49" i="8"/>
  <c r="D49" i="8"/>
  <c r="G48" i="8"/>
  <c r="F48" i="8"/>
  <c r="E48" i="8"/>
  <c r="D48" i="8"/>
  <c r="G47" i="8"/>
  <c r="F47" i="8"/>
  <c r="E47" i="8"/>
  <c r="D47" i="8"/>
  <c r="G46" i="8"/>
  <c r="F46" i="8"/>
  <c r="E46" i="8"/>
  <c r="D46" i="8"/>
  <c r="G45" i="8"/>
  <c r="F45" i="8"/>
  <c r="E45" i="8"/>
  <c r="D45" i="8"/>
  <c r="G44" i="8"/>
  <c r="F44" i="8"/>
  <c r="E44" i="8"/>
  <c r="D44" i="8"/>
  <c r="G43" i="8"/>
  <c r="F43" i="8"/>
  <c r="E43" i="8"/>
  <c r="D43" i="8"/>
  <c r="G42" i="8"/>
  <c r="F42" i="8"/>
  <c r="E42" i="8"/>
  <c r="D42" i="8"/>
  <c r="G41" i="8"/>
  <c r="F41" i="8"/>
  <c r="E41" i="8"/>
  <c r="D41" i="8"/>
  <c r="G40" i="8"/>
  <c r="F40" i="8"/>
  <c r="E40" i="8"/>
  <c r="D40" i="8"/>
  <c r="G39" i="8"/>
  <c r="F39" i="8"/>
  <c r="E39" i="8"/>
  <c r="D39" i="8"/>
  <c r="G38" i="8"/>
  <c r="F38" i="8"/>
  <c r="E38" i="8"/>
  <c r="D38" i="8"/>
  <c r="G37" i="8"/>
  <c r="E37" i="8"/>
  <c r="D37" i="8"/>
  <c r="G36" i="8"/>
  <c r="E36" i="8"/>
  <c r="D36" i="8"/>
  <c r="G35" i="8"/>
  <c r="E35" i="8"/>
  <c r="D35" i="8"/>
  <c r="G34" i="8"/>
  <c r="E34" i="8"/>
  <c r="D34" i="8"/>
  <c r="G33" i="8"/>
  <c r="E33" i="8"/>
  <c r="D33" i="8"/>
  <c r="G32" i="8"/>
  <c r="E32" i="8"/>
  <c r="D32" i="8"/>
  <c r="G31" i="8"/>
  <c r="E31" i="8"/>
  <c r="D31" i="8"/>
  <c r="G30" i="8"/>
  <c r="E30" i="8"/>
  <c r="D30" i="8"/>
  <c r="G29" i="8"/>
  <c r="E29" i="8"/>
  <c r="D29" i="8"/>
  <c r="G28" i="8"/>
  <c r="E28" i="8"/>
  <c r="D28" i="8"/>
  <c r="G27" i="8"/>
  <c r="E27" i="8"/>
  <c r="D27" i="8"/>
  <c r="G26" i="8"/>
  <c r="E26" i="8"/>
  <c r="D26" i="8"/>
  <c r="G25" i="8"/>
  <c r="E25" i="8"/>
  <c r="D25" i="8"/>
  <c r="G24" i="8"/>
  <c r="E24" i="8"/>
  <c r="D24" i="8"/>
  <c r="G23" i="8"/>
  <c r="E23" i="8"/>
  <c r="D23" i="8"/>
  <c r="G22" i="8"/>
  <c r="E22" i="8"/>
  <c r="D22" i="8"/>
  <c r="G21" i="8"/>
  <c r="E21" i="8"/>
  <c r="D21" i="8"/>
  <c r="G20" i="8"/>
  <c r="E20" i="8"/>
  <c r="D20" i="8"/>
  <c r="G19" i="8"/>
  <c r="E19" i="8"/>
  <c r="D19" i="8"/>
  <c r="G18" i="8"/>
  <c r="E18" i="8"/>
  <c r="D18" i="8"/>
  <c r="G17" i="8"/>
  <c r="E17" i="8"/>
  <c r="D17" i="8"/>
  <c r="G16" i="8"/>
  <c r="E16" i="8"/>
  <c r="D16" i="8"/>
  <c r="G15" i="8"/>
  <c r="E15" i="8"/>
  <c r="D15" i="8"/>
  <c r="G14" i="8"/>
  <c r="E14" i="8"/>
  <c r="D14" i="8"/>
  <c r="G13" i="8"/>
  <c r="F13" i="8"/>
  <c r="E13" i="8"/>
  <c r="D13" i="8"/>
  <c r="G12" i="8"/>
  <c r="F12" i="8"/>
  <c r="E12" i="8"/>
  <c r="D12" i="8"/>
  <c r="G11" i="8"/>
  <c r="F11" i="8"/>
  <c r="E11" i="8"/>
  <c r="D11" i="8"/>
  <c r="G10" i="8"/>
  <c r="F10" i="8"/>
  <c r="E10" i="8"/>
  <c r="D10" i="8"/>
  <c r="G9" i="8"/>
  <c r="F9" i="8"/>
  <c r="E9" i="8"/>
  <c r="D9" i="8"/>
  <c r="G8" i="8"/>
  <c r="F8" i="8"/>
  <c r="E8" i="8"/>
  <c r="D8" i="8"/>
  <c r="G7" i="8"/>
  <c r="F7" i="8"/>
  <c r="E7" i="8"/>
  <c r="D7" i="8"/>
  <c r="G6" i="8"/>
  <c r="F6" i="8"/>
  <c r="E6" i="8"/>
  <c r="D6" i="8"/>
  <c r="G5" i="8"/>
  <c r="F5" i="8"/>
  <c r="E5" i="8"/>
  <c r="D5" i="8"/>
  <c r="G4" i="8"/>
  <c r="F4" i="8"/>
  <c r="E4" i="8"/>
  <c r="D4" i="8"/>
  <c r="G3" i="8"/>
  <c r="F3" i="8"/>
  <c r="E3" i="8"/>
  <c r="D3" i="8"/>
  <c r="G2" i="8"/>
  <c r="F2" i="8"/>
  <c r="E2" i="8"/>
  <c r="D2" i="8"/>
  <c r="L9" i="6"/>
  <c r="F96" i="8" s="1"/>
  <c r="K9" i="6"/>
  <c r="F95" i="8" s="1"/>
  <c r="J9" i="6"/>
  <c r="F94" i="8" s="1"/>
  <c r="I9" i="6"/>
  <c r="F93" i="8" s="1"/>
  <c r="H9" i="6"/>
  <c r="F92" i="8" s="1"/>
  <c r="G9" i="6"/>
  <c r="F91" i="8" s="1"/>
  <c r="F9" i="6"/>
  <c r="F90" i="8" s="1"/>
  <c r="E9" i="6"/>
  <c r="F89" i="8" s="1"/>
  <c r="D9" i="6"/>
  <c r="F88" i="8" s="1"/>
  <c r="C9" i="6"/>
  <c r="F87" i="8" s="1"/>
  <c r="B9" i="6"/>
  <c r="F86" i="8" s="1"/>
  <c r="M8" i="6"/>
  <c r="F85" i="8" s="1"/>
  <c r="L8" i="6"/>
  <c r="F84" i="8" s="1"/>
  <c r="K8" i="6"/>
  <c r="F83" i="8" s="1"/>
  <c r="J8" i="6"/>
  <c r="F82" i="8" s="1"/>
  <c r="I8" i="6"/>
  <c r="F81" i="8" s="1"/>
  <c r="H8" i="6"/>
  <c r="F80" i="8" s="1"/>
  <c r="G8" i="6"/>
  <c r="F79" i="8" s="1"/>
  <c r="F8" i="6"/>
  <c r="F78" i="8" s="1"/>
  <c r="E8" i="6"/>
  <c r="F77" i="8" s="1"/>
  <c r="D8" i="6"/>
  <c r="F76" i="8" s="1"/>
  <c r="C8" i="6"/>
  <c r="F75" i="8" s="1"/>
  <c r="B8" i="6"/>
  <c r="F74" i="8" s="1"/>
  <c r="M7" i="6"/>
  <c r="F73" i="8" s="1"/>
  <c r="L7" i="6"/>
  <c r="F72" i="8" s="1"/>
  <c r="K7" i="6"/>
  <c r="F71" i="8" s="1"/>
  <c r="J7" i="6"/>
  <c r="F70" i="8" s="1"/>
  <c r="I7" i="6"/>
  <c r="F69" i="8" s="1"/>
  <c r="H7" i="6"/>
  <c r="F68" i="8" s="1"/>
  <c r="G7" i="6"/>
  <c r="F67" i="8" s="1"/>
  <c r="F7" i="6"/>
  <c r="F66" i="8" s="1"/>
  <c r="E7" i="6"/>
  <c r="F65" i="8" s="1"/>
  <c r="D7" i="6"/>
  <c r="F64" i="8" s="1"/>
  <c r="C7" i="6"/>
  <c r="F63" i="8" s="1"/>
  <c r="B7" i="6"/>
  <c r="F62" i="8" s="1"/>
  <c r="M6" i="6"/>
  <c r="F61" i="8" s="1"/>
  <c r="L6" i="6"/>
  <c r="F60" i="8" s="1"/>
  <c r="K6" i="6"/>
  <c r="F59" i="8" s="1"/>
  <c r="J6" i="6"/>
  <c r="F58" i="8" s="1"/>
  <c r="I6" i="6"/>
  <c r="F57" i="8" s="1"/>
  <c r="H6" i="6"/>
  <c r="F56" i="8" s="1"/>
  <c r="G6" i="6"/>
  <c r="F55" i="8" s="1"/>
  <c r="F6" i="6"/>
  <c r="F54" i="8" s="1"/>
  <c r="E6" i="6"/>
  <c r="F53" i="8" s="1"/>
  <c r="D6" i="6"/>
  <c r="F52" i="8" s="1"/>
  <c r="C6" i="6"/>
  <c r="F51" i="8" s="1"/>
  <c r="B6" i="6"/>
  <c r="F50" i="8" s="1"/>
  <c r="M4" i="6"/>
  <c r="F37" i="8" s="1"/>
  <c r="L4" i="6"/>
  <c r="F36" i="8" s="1"/>
  <c r="K4" i="6"/>
  <c r="F35" i="8" s="1"/>
  <c r="J4" i="6"/>
  <c r="F34" i="8" s="1"/>
  <c r="I4" i="6"/>
  <c r="F33" i="8" s="1"/>
  <c r="H4" i="6"/>
  <c r="F32" i="8" s="1"/>
  <c r="G4" i="6"/>
  <c r="F31" i="8" s="1"/>
  <c r="F4" i="6"/>
  <c r="F30" i="8" s="1"/>
  <c r="E4" i="6"/>
  <c r="F29" i="8" s="1"/>
  <c r="D4" i="6"/>
  <c r="F28" i="8" s="1"/>
  <c r="C4" i="6"/>
  <c r="F27" i="8" s="1"/>
  <c r="B4" i="6"/>
  <c r="F26" i="8" s="1"/>
  <c r="M3" i="6"/>
  <c r="F25" i="8" s="1"/>
  <c r="L3" i="6"/>
  <c r="F24" i="8" s="1"/>
  <c r="K3" i="6"/>
  <c r="F23" i="8" s="1"/>
  <c r="J3" i="6"/>
  <c r="F22" i="8" s="1"/>
  <c r="I3" i="6"/>
  <c r="F21" i="8" s="1"/>
  <c r="H3" i="6"/>
  <c r="F20" i="8" s="1"/>
  <c r="G3" i="6"/>
  <c r="F19" i="8" s="1"/>
  <c r="F3" i="6"/>
  <c r="F18" i="8" s="1"/>
  <c r="E3" i="6"/>
  <c r="F17" i="8" s="1"/>
  <c r="D3" i="6"/>
  <c r="F16" i="8" s="1"/>
  <c r="C3" i="6"/>
  <c r="F15" i="8" s="1"/>
  <c r="B3" i="6"/>
  <c r="F14" i="8" s="1"/>
  <c r="M9" i="5"/>
  <c r="H97" i="8" s="1"/>
  <c r="L9" i="5"/>
  <c r="H96" i="8" s="1"/>
  <c r="K9" i="5"/>
  <c r="H95" i="8" s="1"/>
  <c r="J9" i="5"/>
  <c r="H94" i="8" s="1"/>
  <c r="I9" i="5"/>
  <c r="H93" i="8" s="1"/>
  <c r="H9" i="5"/>
  <c r="H92" i="8" s="1"/>
  <c r="G9" i="5"/>
  <c r="H91" i="8" s="1"/>
  <c r="F9" i="5"/>
  <c r="H90" i="8" s="1"/>
  <c r="E9" i="5"/>
  <c r="H89" i="8" s="1"/>
  <c r="D9" i="5"/>
  <c r="H88" i="8" s="1"/>
  <c r="C9" i="5"/>
  <c r="H87" i="8" s="1"/>
  <c r="B9" i="5"/>
  <c r="H86" i="8" s="1"/>
  <c r="M8" i="5"/>
  <c r="H85" i="8" s="1"/>
  <c r="L8" i="5"/>
  <c r="H84" i="8" s="1"/>
  <c r="K8" i="5"/>
  <c r="H83" i="8" s="1"/>
  <c r="J8" i="5"/>
  <c r="H82" i="8" s="1"/>
  <c r="I8" i="5"/>
  <c r="H81" i="8" s="1"/>
  <c r="H8" i="5"/>
  <c r="H80" i="8" s="1"/>
  <c r="G8" i="5"/>
  <c r="H79" i="8" s="1"/>
  <c r="F8" i="5"/>
  <c r="H78" i="8" s="1"/>
  <c r="E8" i="5"/>
  <c r="H77" i="8" s="1"/>
  <c r="D8" i="5"/>
  <c r="H76" i="8" s="1"/>
  <c r="C8" i="5"/>
  <c r="H75" i="8" s="1"/>
  <c r="B8" i="5"/>
  <c r="H74" i="8" s="1"/>
  <c r="M7" i="5"/>
  <c r="H73" i="8" s="1"/>
  <c r="L7" i="5"/>
  <c r="H72" i="8" s="1"/>
  <c r="K7" i="5"/>
  <c r="H71" i="8" s="1"/>
  <c r="J7" i="5"/>
  <c r="H70" i="8" s="1"/>
  <c r="I7" i="5"/>
  <c r="H69" i="8" s="1"/>
  <c r="H7" i="5"/>
  <c r="H68" i="8" s="1"/>
  <c r="G7" i="5"/>
  <c r="H67" i="8" s="1"/>
  <c r="F7" i="5"/>
  <c r="H66" i="8" s="1"/>
  <c r="E7" i="5"/>
  <c r="H65" i="8" s="1"/>
  <c r="D7" i="5"/>
  <c r="H64" i="8" s="1"/>
  <c r="C7" i="5"/>
  <c r="H63" i="8" s="1"/>
  <c r="B7" i="5"/>
  <c r="H62" i="8" s="1"/>
  <c r="M6" i="5"/>
  <c r="H61" i="8" s="1"/>
  <c r="L6" i="5"/>
  <c r="H60" i="8" s="1"/>
  <c r="K6" i="5"/>
  <c r="H59" i="8" s="1"/>
  <c r="J6" i="5"/>
  <c r="H58" i="8" s="1"/>
  <c r="I6" i="5"/>
  <c r="H57" i="8" s="1"/>
  <c r="H6" i="5"/>
  <c r="H56" i="8" s="1"/>
  <c r="G6" i="5"/>
  <c r="H55" i="8" s="1"/>
  <c r="F6" i="5"/>
  <c r="H54" i="8" s="1"/>
  <c r="E6" i="5"/>
  <c r="H53" i="8" s="1"/>
  <c r="D6" i="5"/>
  <c r="H52" i="8" s="1"/>
  <c r="C6" i="5"/>
  <c r="H51" i="8" s="1"/>
  <c r="B6" i="5"/>
  <c r="H50" i="8" s="1"/>
  <c r="M5" i="5"/>
  <c r="H49" i="8" s="1"/>
  <c r="L5" i="5"/>
  <c r="H48" i="8" s="1"/>
  <c r="K5" i="5"/>
  <c r="H47" i="8" s="1"/>
  <c r="J5" i="5"/>
  <c r="H46" i="8" s="1"/>
  <c r="I5" i="5"/>
  <c r="H45" i="8" s="1"/>
  <c r="H5" i="5"/>
  <c r="H44" i="8" s="1"/>
  <c r="G5" i="5"/>
  <c r="H43" i="8" s="1"/>
  <c r="F5" i="5"/>
  <c r="H42" i="8" s="1"/>
  <c r="E5" i="5"/>
  <c r="H41" i="8" s="1"/>
  <c r="D5" i="5"/>
  <c r="H40" i="8" s="1"/>
  <c r="C5" i="5"/>
  <c r="H39" i="8" s="1"/>
  <c r="B5" i="5"/>
  <c r="H38" i="8" s="1"/>
  <c r="M4" i="5"/>
  <c r="H37" i="8" s="1"/>
  <c r="L4" i="5"/>
  <c r="H36" i="8" s="1"/>
  <c r="K4" i="5"/>
  <c r="H35" i="8" s="1"/>
  <c r="J4" i="5"/>
  <c r="H34" i="8" s="1"/>
  <c r="I4" i="5"/>
  <c r="H33" i="8" s="1"/>
  <c r="H4" i="5"/>
  <c r="H32" i="8" s="1"/>
  <c r="G4" i="5"/>
  <c r="H31" i="8" s="1"/>
  <c r="F4" i="5"/>
  <c r="H30" i="8" s="1"/>
  <c r="E4" i="5"/>
  <c r="H29" i="8" s="1"/>
  <c r="D4" i="5"/>
  <c r="H28" i="8" s="1"/>
  <c r="C4" i="5"/>
  <c r="H27" i="8" s="1"/>
  <c r="B4" i="5"/>
  <c r="H26" i="8" s="1"/>
  <c r="M3" i="5"/>
  <c r="H25" i="8" s="1"/>
  <c r="L3" i="5"/>
  <c r="H24" i="8" s="1"/>
  <c r="K3" i="5"/>
  <c r="H23" i="8" s="1"/>
  <c r="J3" i="5"/>
  <c r="H22" i="8" s="1"/>
  <c r="I3" i="5"/>
  <c r="H21" i="8" s="1"/>
  <c r="H3" i="5"/>
  <c r="H20" i="8" s="1"/>
  <c r="G3" i="5"/>
  <c r="H19" i="8" s="1"/>
  <c r="F3" i="5"/>
  <c r="H18" i="8" s="1"/>
  <c r="E3" i="5"/>
  <c r="H17" i="8" s="1"/>
  <c r="D3" i="5"/>
  <c r="H16" i="8" s="1"/>
  <c r="C3" i="5"/>
  <c r="H15" i="8" s="1"/>
  <c r="B3" i="5"/>
  <c r="H14" i="8" s="1"/>
  <c r="M2" i="5"/>
  <c r="H13" i="8" s="1"/>
  <c r="L2" i="5"/>
  <c r="H12" i="8" s="1"/>
  <c r="K2" i="5"/>
  <c r="H11" i="8" s="1"/>
  <c r="J2" i="5"/>
  <c r="H10" i="8" s="1"/>
  <c r="I2" i="5"/>
  <c r="H9" i="8" s="1"/>
  <c r="H2" i="5"/>
  <c r="H8" i="8" s="1"/>
  <c r="G2" i="5"/>
  <c r="H7" i="8" s="1"/>
  <c r="F2" i="5"/>
  <c r="H6" i="8" s="1"/>
  <c r="E2" i="5"/>
  <c r="H5" i="8" s="1"/>
  <c r="D2" i="5"/>
  <c r="H4" i="8" s="1"/>
  <c r="C2" i="5"/>
  <c r="H3" i="8" s="1"/>
  <c r="B2" i="5"/>
  <c r="H2" i="8" s="1"/>
  <c r="B31" i="1"/>
  <c r="B29" i="1"/>
  <c r="B28" i="1"/>
  <c r="B27" i="1"/>
  <c r="B26" i="1"/>
</calcChain>
</file>

<file path=xl/comments1.xml><?xml version="1.0" encoding="utf-8"?>
<comments xmlns="http://schemas.openxmlformats.org/spreadsheetml/2006/main">
  <authors>
    <author>None</author>
  </authors>
  <commentList>
    <comment ref="B8" authorId="0" shapeId="0">
      <text>
        <r>
          <rPr>
            <sz val="11"/>
            <color theme="1"/>
            <rFont val="Calibri"/>
            <family val="2"/>
            <scheme val="minor"/>
          </rPr>
          <t>METHOD</t>
        </r>
      </text>
    </comment>
    <comment ref="G8" authorId="0" shapeId="0">
      <text>
        <r>
          <rPr>
            <sz val="11"/>
            <color theme="1"/>
            <rFont val="Calibri"/>
            <family val="2"/>
            <scheme val="minor"/>
          </rPr>
          <t>INVESTIGATION_UUID</t>
        </r>
      </text>
    </comment>
    <comment ref="B9" authorId="0" shapeId="0">
      <text>
        <r>
          <rPr>
            <sz val="11"/>
            <color theme="1"/>
            <rFont val="Calibri"/>
            <family val="2"/>
            <scheme val="minor"/>
          </rPr>
          <t>METHOD</t>
        </r>
      </text>
    </comment>
    <comment ref="B10" authorId="0" shapeId="0">
      <text>
        <r>
          <rPr>
            <sz val="11"/>
            <color theme="1"/>
            <rFont val="Calibri"/>
            <family val="2"/>
            <scheme val="minor"/>
          </rPr>
          <t>METHOD</t>
        </r>
      </text>
    </comment>
    <comment ref="B11" authorId="0" shapeId="0">
      <text>
        <r>
          <rPr>
            <sz val="11"/>
            <color theme="1"/>
            <rFont val="Calibri"/>
            <family val="2"/>
            <scheme val="minor"/>
          </rPr>
          <t>METHOD</t>
        </r>
      </text>
    </comment>
    <comment ref="B12" authorId="0" shapeId="0">
      <text>
        <r>
          <rPr>
            <sz val="11"/>
            <color theme="1"/>
            <rFont val="Calibri"/>
            <family val="2"/>
            <scheme val="minor"/>
          </rPr>
          <t>METHOD</t>
        </r>
      </text>
    </comment>
    <comment ref="B13" authorId="0" shapeId="0">
      <text>
        <r>
          <rPr>
            <sz val="11"/>
            <color theme="1"/>
            <rFont val="Calibri"/>
            <family val="2"/>
            <scheme val="minor"/>
          </rPr>
          <t>METHOD</t>
        </r>
      </text>
    </comment>
    <comment ref="B14" authorId="0" shapeId="0">
      <text>
        <r>
          <rPr>
            <sz val="11"/>
            <color theme="1"/>
            <rFont val="Calibri"/>
            <family val="2"/>
            <scheme val="minor"/>
          </rPr>
          <t>METHOD</t>
        </r>
      </text>
    </comment>
    <comment ref="B15" authorId="0" shapeId="0">
      <text>
        <r>
          <rPr>
            <sz val="11"/>
            <color theme="1"/>
            <rFont val="Calibri"/>
            <family val="2"/>
            <scheme val="minor"/>
          </rPr>
          <t>METHOD</t>
        </r>
      </text>
    </comment>
    <comment ref="B16" authorId="0" shapeId="0">
      <text>
        <r>
          <rPr>
            <sz val="11"/>
            <color theme="1"/>
            <rFont val="Calibri"/>
            <family val="2"/>
            <scheme val="minor"/>
          </rPr>
          <t>METHOD</t>
        </r>
      </text>
    </comment>
    <comment ref="B17" authorId="0" shapeId="0">
      <text>
        <r>
          <rPr>
            <sz val="11"/>
            <color theme="1"/>
            <rFont val="Calibri"/>
            <family val="2"/>
            <scheme val="minor"/>
          </rPr>
          <t>METHOD</t>
        </r>
      </text>
    </comment>
    <comment ref="B18" authorId="0" shapeId="0">
      <text>
        <r>
          <rPr>
            <sz val="11"/>
            <color theme="1"/>
            <rFont val="Calibri"/>
            <family val="2"/>
            <scheme val="minor"/>
          </rPr>
          <t>METHOD</t>
        </r>
      </text>
    </comment>
    <comment ref="B19" authorId="0" shapeId="0">
      <text>
        <r>
          <rPr>
            <sz val="11"/>
            <color theme="1"/>
            <rFont val="Calibri"/>
            <family val="2"/>
            <scheme val="minor"/>
          </rPr>
          <t>METHOD</t>
        </r>
      </text>
    </comment>
    <comment ref="B20" authorId="0" shapeId="0">
      <text>
        <r>
          <rPr>
            <sz val="11"/>
            <color theme="1"/>
            <rFont val="Calibri"/>
            <family val="2"/>
            <scheme val="minor"/>
          </rPr>
          <t>METHOD</t>
        </r>
      </text>
    </comment>
    <comment ref="B21" authorId="0" shapeId="0">
      <text>
        <r>
          <rPr>
            <sz val="11"/>
            <color theme="1"/>
            <rFont val="Calibri"/>
            <family val="2"/>
            <scheme val="minor"/>
          </rPr>
          <t>METHOD</t>
        </r>
      </text>
    </comment>
    <comment ref="B22" authorId="0" shapeId="0">
      <text>
        <r>
          <rPr>
            <sz val="11"/>
            <color theme="1"/>
            <rFont val="Calibri"/>
            <family val="2"/>
            <scheme val="minor"/>
          </rPr>
          <t>METHOD</t>
        </r>
      </text>
    </comment>
    <comment ref="B23" authorId="0" shapeId="0">
      <text>
        <r>
          <rPr>
            <sz val="11"/>
            <color theme="1"/>
            <rFont val="Calibri"/>
            <family val="2"/>
            <scheme val="minor"/>
          </rPr>
          <t>METHOD</t>
        </r>
      </text>
    </comment>
    <comment ref="B25" authorId="0" shapeId="0">
      <text>
        <r>
          <rPr>
            <sz val="11"/>
            <color theme="1"/>
            <rFont val="Calibri"/>
            <family val="2"/>
            <scheme val="minor"/>
          </rPr>
          <t>METADATA_SAMPLE_INFO</t>
        </r>
      </text>
    </comment>
    <comment ref="C25" authorId="0" shapeId="0">
      <text>
        <r>
          <rPr>
            <sz val="11"/>
            <color theme="1"/>
            <rFont val="Calibri"/>
            <family val="2"/>
            <scheme val="minor"/>
          </rPr>
          <t>METADATA_SAMPLE_INFO</t>
        </r>
      </text>
    </comment>
    <comment ref="B26" authorId="0" shapeId="0">
      <text>
        <r>
          <rPr>
            <sz val="11"/>
            <color theme="1"/>
            <rFont val="Calibri"/>
            <family val="2"/>
            <scheme val="minor"/>
          </rPr>
          <t>METADATA_SAMPLE_INFO</t>
        </r>
      </text>
    </comment>
    <comment ref="C26" authorId="0" shapeId="0">
      <text>
        <r>
          <rPr>
            <sz val="11"/>
            <color theme="1"/>
            <rFont val="Calibri"/>
            <family val="2"/>
            <scheme val="minor"/>
          </rPr>
          <t>METADATA_SAMPLE_INFO</t>
        </r>
      </text>
    </comment>
    <comment ref="B27" authorId="0" shapeId="0">
      <text>
        <r>
          <rPr>
            <sz val="11"/>
            <color theme="1"/>
            <rFont val="Calibri"/>
            <family val="2"/>
            <scheme val="minor"/>
          </rPr>
          <t>METADATA_SAMPLE_INFO</t>
        </r>
      </text>
    </comment>
    <comment ref="C27" authorId="0" shapeId="0">
      <text>
        <r>
          <rPr>
            <sz val="11"/>
            <color theme="1"/>
            <rFont val="Calibri"/>
            <family val="2"/>
            <scheme val="minor"/>
          </rPr>
          <t>METADATA_SAMPLE_INFO</t>
        </r>
      </text>
    </comment>
    <comment ref="B28" authorId="0" shapeId="0">
      <text>
        <r>
          <rPr>
            <sz val="11"/>
            <color theme="1"/>
            <rFont val="Calibri"/>
            <family val="2"/>
            <scheme val="minor"/>
          </rPr>
          <t>METADATA_SAMPLE_INFO</t>
        </r>
      </text>
    </comment>
    <comment ref="C28" authorId="0" shapeId="0">
      <text>
        <r>
          <rPr>
            <sz val="11"/>
            <color theme="1"/>
            <rFont val="Calibri"/>
            <family val="2"/>
            <scheme val="minor"/>
          </rPr>
          <t>METADATA_SAMPLE_INFO</t>
        </r>
      </text>
    </comment>
    <comment ref="B29" authorId="0" shapeId="0">
      <text>
        <r>
          <rPr>
            <sz val="11"/>
            <color theme="1"/>
            <rFont val="Calibri"/>
            <family val="2"/>
            <scheme val="minor"/>
          </rPr>
          <t>METADATA_SAMPLE_INFO</t>
        </r>
      </text>
    </comment>
    <comment ref="C29" authorId="0" shapeId="0">
      <text>
        <r>
          <rPr>
            <sz val="11"/>
            <color theme="1"/>
            <rFont val="Calibri"/>
            <family val="2"/>
            <scheme val="minor"/>
          </rPr>
          <t>METADATA_SAMPLE_INFO</t>
        </r>
      </text>
    </comment>
    <comment ref="B30" authorId="0" shapeId="0">
      <text>
        <r>
          <rPr>
            <sz val="11"/>
            <color theme="1"/>
            <rFont val="Calibri"/>
            <family val="2"/>
            <scheme val="minor"/>
          </rPr>
          <t>METADATA_SAMPLE_INFO</t>
        </r>
      </text>
    </comment>
    <comment ref="C30" authorId="0" shapeId="0">
      <text>
        <r>
          <rPr>
            <sz val="11"/>
            <color theme="1"/>
            <rFont val="Calibri"/>
            <family val="2"/>
            <scheme val="minor"/>
          </rPr>
          <t>METADATA_SAMPLE_INFO</t>
        </r>
      </text>
    </comment>
    <comment ref="B31" authorId="0" shapeId="0">
      <text>
        <r>
          <rPr>
            <sz val="11"/>
            <color theme="1"/>
            <rFont val="Calibri"/>
            <family val="2"/>
            <scheme val="minor"/>
          </rPr>
          <t>METADATA_SAMPLE_INFO</t>
        </r>
      </text>
    </comment>
    <comment ref="C31" authorId="0" shapeId="0">
      <text>
        <r>
          <rPr>
            <sz val="11"/>
            <color theme="1"/>
            <rFont val="Calibri"/>
            <family val="2"/>
            <scheme val="minor"/>
          </rPr>
          <t>METADATA_SAMPLE_INFO</t>
        </r>
      </text>
    </comment>
    <comment ref="B32" authorId="0" shapeId="0">
      <text>
        <r>
          <rPr>
            <sz val="11"/>
            <color theme="1"/>
            <rFont val="Calibri"/>
            <family val="2"/>
            <scheme val="minor"/>
          </rPr>
          <t>METADATA_SAMPLE_INFO</t>
        </r>
      </text>
    </comment>
    <comment ref="C32" authorId="0" shapeId="0">
      <text>
        <r>
          <rPr>
            <sz val="11"/>
            <color theme="1"/>
            <rFont val="Calibri"/>
            <family val="2"/>
            <scheme val="minor"/>
          </rPr>
          <t>METADATA_SAMPLE_INFO</t>
        </r>
      </text>
    </comment>
    <comment ref="B34" authorId="0" shapeId="0">
      <text>
        <r>
          <rPr>
            <sz val="11"/>
            <color theme="1"/>
            <rFont val="Calibri"/>
            <family val="2"/>
            <scheme val="minor"/>
          </rPr>
          <t>METADATA_SAMPLE_PREP</t>
        </r>
      </text>
    </comment>
    <comment ref="B35" authorId="0" shapeId="0">
      <text>
        <r>
          <rPr>
            <sz val="11"/>
            <color theme="1"/>
            <rFont val="Calibri"/>
            <family val="2"/>
            <scheme val="minor"/>
          </rPr>
          <t>METADATA_SAMPLE_PREP</t>
        </r>
      </text>
    </comment>
    <comment ref="B37" authorId="0" shapeId="0">
      <text>
        <r>
          <rPr>
            <sz val="11"/>
            <color theme="1"/>
            <rFont val="Calibri"/>
            <family val="2"/>
            <scheme val="minor"/>
          </rPr>
          <t>METADATA_PARAMETERS</t>
        </r>
      </text>
    </comment>
    <comment ref="B38" authorId="0" shapeId="0">
      <text>
        <r>
          <rPr>
            <sz val="11"/>
            <color theme="1"/>
            <rFont val="Calibri"/>
            <family val="2"/>
            <scheme val="minor"/>
          </rPr>
          <t>METADATA_PARAMETERS</t>
        </r>
      </text>
    </comment>
    <comment ref="B39" authorId="0" shapeId="0">
      <text>
        <r>
          <rPr>
            <sz val="11"/>
            <color theme="1"/>
            <rFont val="Calibri"/>
            <family val="2"/>
            <scheme val="minor"/>
          </rPr>
          <t>METADATA_PARAMETERS</t>
        </r>
      </text>
    </comment>
    <comment ref="B40" authorId="0" shapeId="0">
      <text>
        <r>
          <rPr>
            <sz val="11"/>
            <color theme="1"/>
            <rFont val="Calibri"/>
            <family val="2"/>
            <scheme val="minor"/>
          </rPr>
          <t>METADATA_PARAMETERS</t>
        </r>
      </text>
    </comment>
    <comment ref="B41" authorId="0" shapeId="0">
      <text>
        <r>
          <rPr>
            <sz val="11"/>
            <color theme="1"/>
            <rFont val="Calibri"/>
            <family val="2"/>
            <scheme val="minor"/>
          </rPr>
          <t>METADATA_PARAMETERS</t>
        </r>
      </text>
    </comment>
    <comment ref="B42" authorId="0" shapeId="0">
      <text>
        <r>
          <rPr>
            <sz val="11"/>
            <color theme="1"/>
            <rFont val="Calibri"/>
            <family val="2"/>
            <scheme val="minor"/>
          </rPr>
          <t>METADATA_PARAMETERS</t>
        </r>
      </text>
    </comment>
    <comment ref="B43" authorId="0" shapeId="0">
      <text>
        <r>
          <rPr>
            <sz val="11"/>
            <color theme="1"/>
            <rFont val="Calibri"/>
            <family val="2"/>
            <scheme val="minor"/>
          </rPr>
          <t>METADATA_PARAMETERS</t>
        </r>
      </text>
    </comment>
    <comment ref="B45" authorId="0" shapeId="0">
      <text>
        <r>
          <rPr>
            <sz val="11"/>
            <color theme="1"/>
            <rFont val="Calibri"/>
            <family val="2"/>
            <scheme val="minor"/>
          </rPr>
          <t>c_concentration</t>
        </r>
      </text>
    </comment>
    <comment ref="B46" authorId="0" shapeId="0">
      <text>
        <r>
          <rPr>
            <sz val="11"/>
            <color theme="1"/>
            <rFont val="Calibri"/>
            <family val="2"/>
            <scheme val="minor"/>
          </rPr>
          <t>c_concentration</t>
        </r>
      </text>
    </comment>
    <comment ref="B47" authorId="0" shapeId="0">
      <text>
        <r>
          <rPr>
            <sz val="11"/>
            <color theme="1"/>
            <rFont val="Calibri"/>
            <family val="2"/>
            <scheme val="minor"/>
          </rPr>
          <t>c_concentration</t>
        </r>
      </text>
    </comment>
    <comment ref="B48" authorId="0" shapeId="0">
      <text>
        <r>
          <rPr>
            <sz val="11"/>
            <color theme="1"/>
            <rFont val="Calibri"/>
            <family val="2"/>
            <scheme val="minor"/>
          </rPr>
          <t>c_treatment</t>
        </r>
      </text>
    </comment>
    <comment ref="B50" authorId="0" shapeId="0">
      <text>
        <r>
          <rPr>
            <sz val="11"/>
            <color theme="1"/>
            <rFont val="Calibri"/>
            <family val="2"/>
            <scheme val="minor"/>
          </rPr>
          <t>c_time</t>
        </r>
      </text>
    </comment>
    <comment ref="B51" authorId="0" shapeId="0">
      <text>
        <r>
          <rPr>
            <sz val="11"/>
            <color theme="1"/>
            <rFont val="Calibri"/>
            <family val="2"/>
            <scheme val="minor"/>
          </rPr>
          <t>c_time</t>
        </r>
      </text>
    </comment>
    <comment ref="B52" authorId="0" shapeId="0">
      <text>
        <r>
          <rPr>
            <sz val="11"/>
            <color theme="1"/>
            <rFont val="Calibri"/>
            <family val="2"/>
            <scheme val="minor"/>
          </rPr>
          <t>c_time</t>
        </r>
      </text>
    </comment>
    <comment ref="B54" authorId="0" shapeId="0">
      <text>
        <r>
          <rPr>
            <sz val="11"/>
            <color theme="1"/>
            <rFont val="Calibri"/>
            <family val="2"/>
            <scheme val="minor"/>
          </rPr>
          <t>CONTROL</t>
        </r>
      </text>
    </comment>
    <comment ref="B55" authorId="0" shapeId="0">
      <text>
        <r>
          <rPr>
            <sz val="11"/>
            <color theme="1"/>
            <rFont val="Calibri"/>
            <family val="2"/>
            <scheme val="minor"/>
          </rPr>
          <t>CONTROL</t>
        </r>
      </text>
    </comment>
    <comment ref="B56" authorId="0" shapeId="0">
      <text>
        <r>
          <rPr>
            <sz val="11"/>
            <color theme="1"/>
            <rFont val="Calibri"/>
            <family val="2"/>
            <scheme val="minor"/>
          </rPr>
          <t>CONTROL</t>
        </r>
      </text>
    </comment>
    <comment ref="B57" authorId="0" shapeId="0">
      <text>
        <r>
          <rPr>
            <sz val="11"/>
            <color theme="1"/>
            <rFont val="Calibri"/>
            <family val="2"/>
            <scheme val="minor"/>
          </rPr>
          <t>CONTROL</t>
        </r>
      </text>
    </comment>
    <comment ref="B59" authorId="0" shapeId="0">
      <text>
        <r>
          <rPr>
            <sz val="11"/>
            <color theme="1"/>
            <rFont val="Calibri"/>
            <family val="2"/>
            <scheme val="minor"/>
          </rPr>
          <t>c_replicate_tech</t>
        </r>
      </text>
    </comment>
    <comment ref="B60" authorId="0" shapeId="0">
      <text>
        <r>
          <rPr>
            <sz val="11"/>
            <color theme="1"/>
            <rFont val="Calibri"/>
            <family val="2"/>
            <scheme val="minor"/>
          </rPr>
          <t>c_replicate_bio</t>
        </r>
      </text>
    </comment>
  </commentList>
</comments>
</file>

<file path=xl/comments2.xml><?xml version="1.0" encoding="utf-8"?>
<comments xmlns="http://schemas.openxmlformats.org/spreadsheetml/2006/main">
  <authors>
    <author>Nina Jeliazkova</author>
  </authors>
  <commentList>
    <comment ref="A1" authorId="0" shapeId="0">
      <text>
        <r>
          <rPr>
            <sz val="11"/>
            <color theme="1"/>
            <rFont val="Calibri"/>
            <family val="2"/>
            <scheme val="minor"/>
          </rPr>
          <t>Nina Jeliazkova:
Example values.  Replace with yours. Don't change the layout</t>
        </r>
      </text>
    </comment>
  </commentList>
</comments>
</file>

<file path=xl/comments3.xml><?xml version="1.0" encoding="utf-8"?>
<comments xmlns="http://schemas.openxmlformats.org/spreadsheetml/2006/main">
  <authors>
    <author>Nina Jeliazkova</author>
  </authors>
  <commentList>
    <comment ref="A1" authorId="0" shapeId="0">
      <text>
        <r>
          <rPr>
            <sz val="11"/>
            <color theme="1"/>
            <rFont val="Calibri"/>
            <family val="2"/>
            <scheme val="minor"/>
          </rPr>
          <t>Nina Jeliazkova:
These are example values, replace with your plate readout!</t>
        </r>
      </text>
    </comment>
  </commentList>
</comments>
</file>

<file path=xl/comments4.xml><?xml version="1.0" encoding="utf-8"?>
<comments xmlns="http://schemas.openxmlformats.org/spreadsheetml/2006/main">
  <authors>
    <author>Nina Jeliazkova</author>
  </authors>
  <commentList>
    <comment ref="A1" authorId="0" shapeId="0">
      <text>
        <r>
          <rPr>
            <sz val="11"/>
            <color theme="1"/>
            <rFont val="Calibri"/>
            <family val="2"/>
            <scheme val="minor"/>
          </rPr>
          <t>Nina Jeliazkova:
These are example materials, replace with your materials.   Will be integrated with Materials sheet lookup in next release</t>
        </r>
      </text>
    </comment>
  </commentList>
</comments>
</file>

<file path=xl/comments5.xml><?xml version="1.0" encoding="utf-8"?>
<comments xmlns="http://schemas.openxmlformats.org/spreadsheetml/2006/main">
  <authors>
    <author>Nina Jeliazkova</author>
  </authors>
  <commentList>
    <comment ref="A1" authorId="0" shapeId="0">
      <text>
        <r>
          <rPr>
            <sz val="11"/>
            <color theme="1"/>
            <rFont val="Calibri"/>
            <family val="2"/>
            <scheme val="minor"/>
          </rPr>
          <t>Nina Jeliazkova:
The readout,metadata and materials are automatically retrieved from the plate_* sheets</t>
        </r>
      </text>
    </comment>
  </commentList>
</comments>
</file>

<file path=xl/sharedStrings.xml><?xml version="1.0" encoding="utf-8"?>
<sst xmlns="http://schemas.openxmlformats.org/spreadsheetml/2006/main" count="520" uniqueCount="264">
  <si>
    <t>GRACIOUS</t>
  </si>
  <si>
    <t>Test Data Recording Form (TDRF)</t>
  </si>
  <si>
    <t>Please complete all applicable fields below as far as possible. Aim to familiarise yourself with the Introductory Guidance and Example Filled Templates.</t>
  </si>
  <si>
    <t>While aiming to standardise data recording as far as we can, flexibility may still be needed for some Test/Assay types and their results:</t>
  </si>
  <si>
    <t>Thus it may be necessary to add additional items e.g. for further replicates, concentrations, timepoints, or other variations on inputs, results outputs, etc.</t>
  </si>
  <si>
    <t>If so, please highlight changes &amp; alterations e.g. using colour, and/or comments in notes, or adjacent to data/tables to flag items, fluctuations from norm, etc.</t>
  </si>
  <si>
    <t>TEST CONDITIONS</t>
  </si>
  <si>
    <t>Please ensure you also complete a Test Method Description Form (TMDF) for this test type</t>
  </si>
  <si>
    <t>Project Work Package</t>
  </si>
  <si>
    <t>wp3</t>
  </si>
  <si>
    <t>Linked exeriment identifier</t>
  </si>
  <si>
    <t>Partner conducting test/assay</t>
  </si>
  <si>
    <t>Test facility - Laboratory name</t>
  </si>
  <si>
    <t>Lead Scientist &amp; contact for test</t>
  </si>
  <si>
    <t>Assay/Test work conducted by</t>
  </si>
  <si>
    <t>Full name of test/assay</t>
  </si>
  <si>
    <t>Alamar blue</t>
  </si>
  <si>
    <t>Short name or acronym for test/assay</t>
  </si>
  <si>
    <t>Type or class of experimental test as used here</t>
  </si>
  <si>
    <t>ENM_0000068_SECTION</t>
  </si>
  <si>
    <t>End-Point being investigated/assessed by the test</t>
  </si>
  <si>
    <t>Relative cell viability (average exp)</t>
  </si>
  <si>
    <t>Relative cell viability</t>
  </si>
  <si>
    <t>End-Point units</t>
  </si>
  <si>
    <t>%</t>
  </si>
  <si>
    <t>Raw data metrics</t>
  </si>
  <si>
    <t>Absorbance</t>
  </si>
  <si>
    <t>Raw data units</t>
  </si>
  <si>
    <t>AU</t>
  </si>
  <si>
    <t>SOP(s) for test</t>
  </si>
  <si>
    <t>ok</t>
  </si>
  <si>
    <t>Path/link to sop/protocol</t>
  </si>
  <si>
    <t>Test start date</t>
  </si>
  <si>
    <t>2026-02-16</t>
  </si>
  <si>
    <t>Test end date</t>
  </si>
  <si>
    <t>Test Material Details</t>
  </si>
  <si>
    <t>Select item from Project Materials list</t>
  </si>
  <si>
    <t>Material Name</t>
  </si>
  <si>
    <t>Core chemistry</t>
  </si>
  <si>
    <t>CAS No</t>
  </si>
  <si>
    <t>Material Supplier</t>
  </si>
  <si>
    <t>Material State</t>
  </si>
  <si>
    <t>Batch</t>
  </si>
  <si>
    <t>Date of preparation</t>
  </si>
  <si>
    <t>DISPERSION</t>
  </si>
  <si>
    <t xml:space="preserve">Standard dispersion protocol </t>
  </si>
  <si>
    <t>Dispersion agent</t>
  </si>
  <si>
    <t>CELL LINE DETAILS</t>
  </si>
  <si>
    <t>Cell line short-name</t>
  </si>
  <si>
    <t>Supplier</t>
  </si>
  <si>
    <t>Passage no</t>
  </si>
  <si>
    <t>Plate details</t>
  </si>
  <si>
    <t xml:space="preserve">Number of readings </t>
  </si>
  <si>
    <t>Number of cells per well</t>
  </si>
  <si>
    <t>Total volume per well</t>
  </si>
  <si>
    <t>TREATMENT CONCENTRATION</t>
  </si>
  <si>
    <t>Concentration series unit</t>
  </si>
  <si>
    <t>ug/cm2</t>
  </si>
  <si>
    <t>Concentration series labels</t>
  </si>
  <si>
    <t>C1</t>
  </si>
  <si>
    <t>C2</t>
  </si>
  <si>
    <t>C3</t>
  </si>
  <si>
    <t>Concentration</t>
  </si>
  <si>
    <t>Treatment type series</t>
  </si>
  <si>
    <t>TREATMENT TIME</t>
  </si>
  <si>
    <t>Time series unit</t>
  </si>
  <si>
    <t>h</t>
  </si>
  <si>
    <t>Time series labels</t>
  </si>
  <si>
    <t>T1</t>
  </si>
  <si>
    <t>T2</t>
  </si>
  <si>
    <t>T3</t>
  </si>
  <si>
    <t>Time</t>
  </si>
  <si>
    <t>CONTROLS</t>
  </si>
  <si>
    <t>Positive controls abbreviations</t>
  </si>
  <si>
    <t>Positive controls description</t>
  </si>
  <si>
    <t>Negative controls abbreviations</t>
  </si>
  <si>
    <t>Negative controls description</t>
  </si>
  <si>
    <t>REPLICATES</t>
  </si>
  <si>
    <t>Replicate</t>
  </si>
  <si>
    <t>Experiment number bio replicate</t>
  </si>
  <si>
    <t>Material</t>
  </si>
  <si>
    <t>ERM identifier</t>
  </si>
  <si>
    <t>ID</t>
  </si>
  <si>
    <t>Name</t>
  </si>
  <si>
    <t>CAS</t>
  </si>
  <si>
    <t>type</t>
  </si>
  <si>
    <t>Supplier code</t>
  </si>
  <si>
    <t>Core</t>
  </si>
  <si>
    <t>BET surface in m²/g</t>
  </si>
  <si>
    <t>Ag-NW2_short</t>
  </si>
  <si>
    <t>Ag, 3 um length, 50 nm diameter</t>
  </si>
  <si>
    <t>7440-22-4</t>
  </si>
  <si>
    <t>NPO_1892</t>
  </si>
  <si>
    <t>NanoGap</t>
  </si>
  <si>
    <t>Ag</t>
  </si>
  <si>
    <t>Ag-NW1_long</t>
  </si>
  <si>
    <t>Ag, 30 µm length, 100 nm diameter</t>
  </si>
  <si>
    <t>CuPhthalo_halogen</t>
  </si>
  <si>
    <t>Organic pigment Green 7, CuPhthalocyanine 14nm hydrophobic</t>
  </si>
  <si>
    <t>1328-53-6</t>
  </si>
  <si>
    <t>CHEBI_59999</t>
  </si>
  <si>
    <t>BASF</t>
  </si>
  <si>
    <t>CuPhthalo_nano</t>
  </si>
  <si>
    <t>Organic pigment Blue 15, Cu-Phthalocyanine 17nm, hydrophobic</t>
  </si>
  <si>
    <t>147-14-8</t>
  </si>
  <si>
    <t>DPP_premixed</t>
  </si>
  <si>
    <t>Organic pigment Red 254 opaque, diketopyrrolopyrrole, 230nm, borderline hydrophobic</t>
  </si>
  <si>
    <t>84632-65-5</t>
  </si>
  <si>
    <t>DPP_nano</t>
  </si>
  <si>
    <t>organic pigment Red 254 transparent, diketopyrrolopyrrole, 43nm, hydrophobic</t>
  </si>
  <si>
    <t>DPP_non-nano</t>
  </si>
  <si>
    <t>organic pigment Red 254 opaque, diketopyrrolopyrrole, 233nm, hydrophobic</t>
  </si>
  <si>
    <t>Fe2O3_nano_A</t>
  </si>
  <si>
    <t>Inorganic pigment Red 101, rods, hydrophilic</t>
  </si>
  <si>
    <t>1309-37-1</t>
  </si>
  <si>
    <t>NPO_1550</t>
  </si>
  <si>
    <t>Fe2O3</t>
  </si>
  <si>
    <t>Fe2O3_nano_B</t>
  </si>
  <si>
    <t>Inorganic pigment Red 101, 37nm, hydrophilic</t>
  </si>
  <si>
    <t>FeOOH</t>
  </si>
  <si>
    <t>Iron(III) oxide-hydroxide</t>
  </si>
  <si>
    <t>1310-14-1</t>
  </si>
  <si>
    <t>??</t>
  </si>
  <si>
    <t>O=[Fe]O</t>
  </si>
  <si>
    <t>Fe2O3_larger</t>
  </si>
  <si>
    <t>diiron trioxide</t>
  </si>
  <si>
    <t>[O-2].[O-2].[O-2].[Fe+3].[Fe+3].O</t>
  </si>
  <si>
    <t>Silica_Al</t>
  </si>
  <si>
    <t>Silicon dioxide, Al substituted into the silica surface, 25%</t>
  </si>
  <si>
    <t>7631-86-9</t>
  </si>
  <si>
    <t>NPO_1373</t>
  </si>
  <si>
    <t>NOURYON</t>
  </si>
  <si>
    <t>SiO2</t>
  </si>
  <si>
    <t>Silica_std</t>
  </si>
  <si>
    <t>Silicon dioxide, Standard silica, 30%</t>
  </si>
  <si>
    <t>CeO2 (pyrolytic)</t>
  </si>
  <si>
    <t>Pyrolytic, 34.75 nm ± 22.89</t>
  </si>
  <si>
    <t>1306-38-3</t>
  </si>
  <si>
    <t>ENM_9000006</t>
  </si>
  <si>
    <t>CeO2</t>
  </si>
  <si>
    <t>Silica_Silane</t>
  </si>
  <si>
    <t>Silicon dioxide, silane modified, 28%</t>
  </si>
  <si>
    <t>Silica_anis_Std</t>
  </si>
  <si>
    <t>Silicon dioxide, Standard silica, aggregated nanoparticles, 12% SiO2, pH 11</t>
  </si>
  <si>
    <t>Silica_anis_Al</t>
  </si>
  <si>
    <t>Silicon dioxide, Al substituted into the surface, aggregated nanoparticles, 7% total solids, pH 8.5</t>
  </si>
  <si>
    <t>ZnCdSeS</t>
  </si>
  <si>
    <t>ZnCdSeS, hydrophobic (530nm)</t>
  </si>
  <si>
    <t>NPO_589</t>
  </si>
  <si>
    <t>PlasmaChem</t>
  </si>
  <si>
    <t>ZnCdSeS-COOH</t>
  </si>
  <si>
    <t>ZnCdSeS-COOH, hydrophilic (530nm)</t>
  </si>
  <si>
    <t>ZnCuInS/ZnS</t>
  </si>
  <si>
    <t>ZnCuInS/ZnS, hydrophobic (530nm)</t>
  </si>
  <si>
    <t>Zn Cu In S</t>
  </si>
  <si>
    <t>ZnCuInS/ZnS-COOH_smaller</t>
  </si>
  <si>
    <t>ZnCuInS/ZnS-COOH_smaller, hydrophilic (530nm)</t>
  </si>
  <si>
    <t>ZnCuInS/ZnS-COOH_larger</t>
  </si>
  <si>
    <t>ZnCuInS/ZnS-COOH_larger, hydrophilic (700nm)</t>
  </si>
  <si>
    <t>CNF-50-nm</t>
  </si>
  <si>
    <t>Cellulose nanofibrils 50 nm diameter x 6.6 µm length</t>
  </si>
  <si>
    <t>9004-34-6</t>
  </si>
  <si>
    <t>CHEBI:133349</t>
  </si>
  <si>
    <t>Harvard</t>
  </si>
  <si>
    <t>Cellulose</t>
  </si>
  <si>
    <t>CNF-80-nm</t>
  </si>
  <si>
    <t>Cellulose nanofibrils 80 nm diameter x 6.6 µm length</t>
  </si>
  <si>
    <t>Cellulose nanocrystals</t>
  </si>
  <si>
    <t>Cellulose nanocrystals 25 nm x 250 nm rod-like</t>
  </si>
  <si>
    <t>NPO_1375</t>
  </si>
  <si>
    <t>CNT Mitsui 7</t>
  </si>
  <si>
    <t>Mitsui 7</t>
  </si>
  <si>
    <t>308068-56-6</t>
  </si>
  <si>
    <t>NPO_354</t>
  </si>
  <si>
    <t>JRC</t>
  </si>
  <si>
    <t>Carbon</t>
  </si>
  <si>
    <t>NM-300</t>
  </si>
  <si>
    <t>NM-220</t>
  </si>
  <si>
    <t>7727-43-7</t>
  </si>
  <si>
    <t>CHEBI_133326</t>
  </si>
  <si>
    <t>BaSO4</t>
  </si>
  <si>
    <t>NM-200</t>
  </si>
  <si>
    <t>NM-110</t>
  </si>
  <si>
    <t>1314-13-2</t>
  </si>
  <si>
    <t>ZnO</t>
  </si>
  <si>
    <t>NM-402</t>
  </si>
  <si>
    <t>MWCNT</t>
  </si>
  <si>
    <t>NM-212</t>
  </si>
  <si>
    <t>Cerium dioxide</t>
  </si>
  <si>
    <t>CuO</t>
  </si>
  <si>
    <t>Copper(II) oxide</t>
  </si>
  <si>
    <t>1317-38-0</t>
  </si>
  <si>
    <t>NPO_1544</t>
  </si>
  <si>
    <t>[Cu]=O</t>
  </si>
  <si>
    <t>Mn2O3</t>
  </si>
  <si>
    <t>Manganese(III) oxide</t>
  </si>
  <si>
    <t>1317-34-6</t>
  </si>
  <si>
    <t>ENM_9000073</t>
  </si>
  <si>
    <t>O=[Mn]O[Mn]=O</t>
  </si>
  <si>
    <t>readout</t>
  </si>
  <si>
    <t>A</t>
  </si>
  <si>
    <t>B</t>
  </si>
  <si>
    <t>C</t>
  </si>
  <si>
    <t>D</t>
  </si>
  <si>
    <t>E</t>
  </si>
  <si>
    <t>F</t>
  </si>
  <si>
    <t>G</t>
  </si>
  <si>
    <t>H</t>
  </si>
  <si>
    <t>a1</t>
  </si>
  <si>
    <t>a2</t>
  </si>
  <si>
    <t>a3</t>
  </si>
  <si>
    <t>a4</t>
  </si>
  <si>
    <t>a5</t>
  </si>
  <si>
    <t>a6</t>
  </si>
  <si>
    <t>a7</t>
  </si>
  <si>
    <t>a8</t>
  </si>
  <si>
    <t>a9</t>
  </si>
  <si>
    <t>a10</t>
  </si>
  <si>
    <t>a11</t>
  </si>
  <si>
    <t>a12</t>
  </si>
  <si>
    <t>d1</t>
  </si>
  <si>
    <t>d2</t>
  </si>
  <si>
    <t>d3</t>
  </si>
  <si>
    <t>d4</t>
  </si>
  <si>
    <t>d5</t>
  </si>
  <si>
    <t>d6</t>
  </si>
  <si>
    <t>d7</t>
  </si>
  <si>
    <t>d8</t>
  </si>
  <si>
    <t>d9</t>
  </si>
  <si>
    <t>d10</t>
  </si>
  <si>
    <t>d11</t>
  </si>
  <si>
    <t>d12</t>
  </si>
  <si>
    <t>h12</t>
  </si>
  <si>
    <t>M1</t>
  </si>
  <si>
    <t>M2</t>
  </si>
  <si>
    <t>M3</t>
  </si>
  <si>
    <t>M4</t>
  </si>
  <si>
    <t>M5</t>
  </si>
  <si>
    <t>M6</t>
  </si>
  <si>
    <t>M7</t>
  </si>
  <si>
    <t>M8</t>
  </si>
  <si>
    <t>M9</t>
  </si>
  <si>
    <t>M10</t>
  </si>
  <si>
    <t>M11</t>
  </si>
  <si>
    <t>M12</t>
  </si>
  <si>
    <t>README</t>
  </si>
  <si>
    <t>row</t>
  </si>
  <si>
    <t xml:space="preserve">col </t>
  </si>
  <si>
    <t>value</t>
  </si>
  <si>
    <t>materials</t>
  </si>
  <si>
    <t>concentration</t>
  </si>
  <si>
    <t>uuid</t>
  </si>
  <si>
    <t>surveyjs</t>
  </si>
  <si>
    <t>13ba6ee8-8596-4462-9987-1eda31905d27</t>
  </si>
  <si>
    <t>{"SOP": "protocol_sop", "conditions": [{"conditon_name": "Concentration", "condition_unit": "ug/cm2", "condition_type": "c_concentration"}, {"conditon_name": "Time", "condition_unit": "h", "condition_type": "c_time"}, {"conditon_name": "Replicate", "condition_type": "c_replicate_tech"}, {"conditon_name": "Experiment number bio replicate", "condition_type": "c_replicate_bio"}], "PROTOCOL_TOP_CATEGORY": "TOX", "data_sheets": ["data_raw", "data_processed", "data_platelayout"], "METADATA_SAMPLE_INFO": [{"param_sample_name": "Material ID", "param_sample_group": "ID"}, {"param_sample_name": "Material name", "param_sample_group": "NAME"}, {"param_sample_name": "Material supplier", "param_sample_group": "SUPPLIER"}], "template_layout": "dose_response", "template_name": " Alamar blue", "template_author": "workshop Gergana Tancheva", "template_acknowledgment": "anna project", "user_role": ["role_lab", "role_datamgr"], "controls": ["c_control_negative", "c_control_positive"], "PROTOCOL_CATEGORY_CODE": "ENM_0000068_SECTION", "raw_data_report": [{"raw_endpoint": "Absorbance", "raw_aggregate": "RAW_DATA", "raw_unit": "AU", "raw_type": "value_num", "raw_conditions": ["Concentration", "Time", "Replicate"]}], "question3": [{"result_name": "Relative cell viability (average exp)", "result_aggregate": "MEAN", "result_unit": "%", "result_type": "value_num", "results_conditions": ["Concentration", "Time"]}, {"results_conditions": ["Concentration", "Time"], "result_name": "Relative cell viability", "result_aggregate": "MEAN", "result_unit": "%", "result_endpoint_uncertainty": "SD", "result_type": "value_num"}], "RESULTS": "The relative viability of cells in different conditions can be determined by comparing the fluorescence or absorbance readings. Higher readings indicate greater metabolic activity and therefore higher cell viability and proliferation rates.", "METADATA_PARAMETERS": [{"param_name": "Cell line short-name", "param_group": "CELL LINE DETAILS", "param_type": "value_text"}, {"param_name": "Supplier", "param_group": "CELL LINE DETAILS", "param_type": "value_text"}, {"param_name": "Passage no", "param_group": "CELL LINE DETAILS", "param_type": "value_num"}, {"param_name": "Plate details", "param_group": "CELL LINE DETAILS", "param_type": "value_text"}, {"param_name": "Number of readings ", "param_group": "CELL LINE DETAILS", "param_type": "value_text"}, {"param_name": "Number of cells per well", "param_group": "CELL LINE DETAILS", "param_type": "value_text"}, {"param_name": "Total volume per well", "param_group": "CELL LINE DETAILS", "param_type": "value_text"}], "METADATA_SAMPLE_PREP": [{"param_sampleprep_name": "Standard dispersion protocol ", "param_sampleprep_group": "DISPERSION", "param_type": "value_text"}, {"param_sampleprep_name": "Dispersion agent", "param_sampleprep_group": "DISPERSION", "param_type": "value_text"}], "provenance_project": "MOMENTUM", "provenance_workpackage": "wp3", "origin_uuid": "18804da3-fa42-4d09-8278-685b5c7b3f3a", "METHOD": "Alamar blue", "EXPERIMENT": "ok", "template_uuid": "13ba6ee8-8596-4462-9987-1eda31905d27"}</t>
  </si>
  <si>
    <t>version</t>
  </si>
  <si>
    <t>1.01</t>
  </si>
  <si>
    <t>TEST1</t>
  </si>
  <si>
    <t>TEST2</t>
  </si>
  <si>
    <t>ME</t>
  </si>
  <si>
    <t>Caco2</t>
  </si>
  <si>
    <t>a</t>
  </si>
  <si>
    <t>b</t>
  </si>
  <si>
    <t>C4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</si>
</sst>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family val="2"/>
      <scheme val="minor"/>
    </font>
    <font>
      <b/>
      <sz val="11"/>
      <color rgb="FFFFFFFF"/>
      <name val="Calibri"/>
      <family val="2"/>
      <scheme val="minor"/>
    </font>
    <font>
      <b/>
      <sz val="12"/>
      <color rgb="FF0000FF"/>
      <name val="Calibri"/>
      <family val="2"/>
      <scheme val="minor"/>
    </font>
    <font>
      <b/>
      <sz val="11"/>
      <color theme="1"/>
      <name val="Calibri"/>
      <family val="2"/>
      <scheme val="minor"/>
    </font>
    <font>
      <b/>
      <sz val="11"/>
      <color rgb="FF0000FF"/>
      <name val="Calibri"/>
      <family val="2"/>
      <scheme val="minor"/>
    </font>
    <font>
      <sz val="8"/>
      <color rgb="FFFFFFFF"/>
      <name val="Courier New"/>
      <family val="3"/>
    </font>
    <font>
      <sz val="11"/>
      <name val="Calibri"/>
    </font>
  </fonts>
  <fills count="8">
    <fill>
      <patternFill patternType="none"/>
    </fill>
    <fill>
      <patternFill patternType="gray125"/>
    </fill>
    <fill>
      <patternFill patternType="solid">
        <fgColor rgb="FF002060"/>
        <bgColor indexed="64"/>
      </patternFill>
    </fill>
    <fill>
      <patternFill patternType="solid">
        <fgColor rgb="FFFFC000"/>
        <bgColor indexed="64"/>
      </patternFill>
    </fill>
    <fill>
      <patternFill patternType="solid">
        <fgColor rgb="FF00B0F0"/>
        <bgColor indexed="64"/>
      </patternFill>
    </fill>
    <fill>
      <patternFill patternType="solid">
        <fgColor rgb="FFFFF2CC"/>
        <bgColor indexed="64"/>
      </patternFill>
    </fill>
    <fill>
      <patternFill patternType="solid">
        <fgColor rgb="FFC0C0C0"/>
        <bgColor indexed="64"/>
      </patternFill>
    </fill>
    <fill>
      <patternFill patternType="solid">
        <fgColor rgb="FFFFFF00"/>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diagonal/>
    </border>
  </borders>
  <cellStyleXfs count="2">
    <xf numFmtId="0" fontId="0" fillId="0" borderId="0"/>
    <xf numFmtId="0" fontId="6" fillId="0" borderId="19"/>
  </cellStyleXfs>
  <cellXfs count="32">
    <xf numFmtId="0" fontId="0" fillId="0" borderId="0" xfId="0"/>
    <xf numFmtId="0" fontId="1" fillId="2" borderId="0" xfId="0" applyFont="1" applyFill="1"/>
    <xf numFmtId="0" fontId="2" fillId="3" borderId="0" xfId="0" applyFont="1" applyFill="1"/>
    <xf numFmtId="0" fontId="0" fillId="4" borderId="0" xfId="0" applyFill="1"/>
    <xf numFmtId="0" fontId="3" fillId="0" borderId="0" xfId="0" applyFont="1" applyAlignment="1">
      <alignment horizontal="right"/>
    </xf>
    <xf numFmtId="0" fontId="0" fillId="5" borderId="0" xfId="0" applyFill="1" applyAlignment="1">
      <alignment horizontal="right" wrapText="1"/>
    </xf>
    <xf numFmtId="0" fontId="4" fillId="6" borderId="0" xfId="0" applyFont="1" applyFill="1" applyAlignment="1">
      <alignment wrapText="1"/>
    </xf>
    <xf numFmtId="0" fontId="3" fillId="0" borderId="1" xfId="0" applyFont="1" applyBorder="1" applyAlignment="1">
      <alignment horizontal="center" vertical="top"/>
    </xf>
    <xf numFmtId="0" fontId="3" fillId="7" borderId="2" xfId="0" applyFont="1" applyFill="1" applyBorder="1"/>
    <xf numFmtId="0" fontId="3" fillId="0" borderId="2" xfId="0" applyFont="1" applyBorder="1"/>
    <xf numFmtId="0" fontId="0" fillId="0" borderId="2" xfId="0" applyBorder="1"/>
    <xf numFmtId="0" fontId="3" fillId="7" borderId="3" xfId="0" applyFont="1" applyFill="1" applyBorder="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0" fillId="0" borderId="8" xfId="0" applyBorder="1"/>
    <xf numFmtId="0" fontId="0" fillId="0" borderId="9" xfId="0" applyBorder="1"/>
    <xf numFmtId="0" fontId="0" fillId="0" borderId="10" xfId="0" applyBorder="1"/>
    <xf numFmtId="0" fontId="3" fillId="0" borderId="11" xfId="0" applyFont="1" applyBorder="1"/>
    <xf numFmtId="0" fontId="0" fillId="0" borderId="12" xfId="0" applyBorder="1"/>
    <xf numFmtId="0" fontId="0" fillId="0" borderId="13" xfId="0" applyBorder="1"/>
    <xf numFmtId="0" fontId="3" fillId="0" borderId="14" xfId="0" applyFont="1" applyBorder="1"/>
    <xf numFmtId="0" fontId="0" fillId="0" borderId="15" xfId="0" applyBorder="1"/>
    <xf numFmtId="0" fontId="0" fillId="0" borderId="16" xfId="0" applyBorder="1"/>
    <xf numFmtId="0" fontId="0" fillId="0" borderId="17" xfId="0" applyBorder="1"/>
    <xf numFmtId="0" fontId="0" fillId="7" borderId="0" xfId="0" applyFill="1"/>
    <xf numFmtId="0" fontId="0" fillId="0" borderId="18" xfId="0" applyBorder="1"/>
    <xf numFmtId="0" fontId="0" fillId="0" borderId="5" xfId="0" applyBorder="1"/>
    <xf numFmtId="0" fontId="0" fillId="0" borderId="6" xfId="0" applyBorder="1"/>
    <xf numFmtId="0" fontId="5" fillId="0" borderId="0" xfId="0" applyFont="1"/>
    <xf numFmtId="0" fontId="6" fillId="0" borderId="19" xfId="1"/>
  </cellXfs>
  <cellStyles count="2">
    <cellStyle name="hidden" xfId="1" hidden="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60"/>
  <sheetViews>
    <sheetView tabSelected="1" topLeftCell="A13" workbookViewId="0">
      <selection activeCell="A37" sqref="A37"/>
    </sheetView>
  </sheetViews>
  <sheetFormatPr defaultRowHeight="14.4"/>
  <cols>
    <col min="1" max="1" width="50.6640625" customWidth="1"/>
    <col min="2" max="2" width="20.6640625" customWidth="1"/>
    <col min="6" max="6" width="28.6640625" customWidth="1"/>
    <col min="7" max="7" width="20.6640625" customWidth="1"/>
  </cols>
  <sheetData>
    <row r="1" spans="1:7">
      <c r="A1" t="s">
        <v>0</v>
      </c>
      <c r="B1" t="s">
        <v>1</v>
      </c>
    </row>
    <row r="2" spans="1:7" s="1" customFormat="1">
      <c r="A2" s="1" t="s">
        <v>2</v>
      </c>
    </row>
    <row r="3" spans="1:7" s="1" customFormat="1">
      <c r="A3" s="1" t="s">
        <v>3</v>
      </c>
    </row>
    <row r="4" spans="1:7" s="1" customFormat="1">
      <c r="A4" s="1" t="s">
        <v>4</v>
      </c>
    </row>
    <row r="5" spans="1:7" s="1" customFormat="1">
      <c r="A5" s="1" t="s">
        <v>5</v>
      </c>
    </row>
    <row r="6" spans="1:7" s="2" customFormat="1" ht="15.6">
      <c r="A6" s="2" t="s">
        <v>6</v>
      </c>
      <c r="B6" s="2" t="s">
        <v>7</v>
      </c>
    </row>
    <row r="7" spans="1:7" s="3" customFormat="1"/>
    <row r="8" spans="1:7">
      <c r="A8" s="4" t="s">
        <v>8</v>
      </c>
      <c r="B8" s="5" t="s">
        <v>9</v>
      </c>
      <c r="F8" s="4" t="s">
        <v>10</v>
      </c>
      <c r="G8" s="5"/>
    </row>
    <row r="9" spans="1:7">
      <c r="A9" s="4" t="s">
        <v>11</v>
      </c>
      <c r="B9" s="5" t="s">
        <v>257</v>
      </c>
    </row>
    <row r="10" spans="1:7">
      <c r="A10" s="4" t="s">
        <v>12</v>
      </c>
      <c r="B10" s="5" t="s">
        <v>258</v>
      </c>
    </row>
    <row r="11" spans="1:7">
      <c r="A11" s="4" t="s">
        <v>13</v>
      </c>
      <c r="B11" s="5" t="s">
        <v>259</v>
      </c>
    </row>
    <row r="12" spans="1:7">
      <c r="A12" s="4" t="s">
        <v>14</v>
      </c>
      <c r="B12" s="5" t="s">
        <v>259</v>
      </c>
    </row>
    <row r="13" spans="1:7">
      <c r="A13" s="4" t="s">
        <v>15</v>
      </c>
      <c r="B13" s="5" t="s">
        <v>16</v>
      </c>
    </row>
    <row r="14" spans="1:7">
      <c r="A14" s="4" t="s">
        <v>17</v>
      </c>
      <c r="B14" s="5" t="s">
        <v>16</v>
      </c>
    </row>
    <row r="15" spans="1:7" ht="28.8">
      <c r="A15" s="4" t="s">
        <v>18</v>
      </c>
      <c r="B15" s="5" t="s">
        <v>19</v>
      </c>
    </row>
    <row r="16" spans="1:7" ht="43.2">
      <c r="A16" s="4" t="s">
        <v>20</v>
      </c>
      <c r="B16" s="5" t="s">
        <v>21</v>
      </c>
      <c r="C16" s="5" t="s">
        <v>22</v>
      </c>
    </row>
    <row r="17" spans="1:3">
      <c r="A17" s="4" t="s">
        <v>23</v>
      </c>
      <c r="B17" s="5" t="s">
        <v>24</v>
      </c>
      <c r="C17" s="5" t="s">
        <v>24</v>
      </c>
    </row>
    <row r="18" spans="1:3">
      <c r="A18" s="4" t="s">
        <v>25</v>
      </c>
      <c r="B18" s="5" t="s">
        <v>26</v>
      </c>
    </row>
    <row r="19" spans="1:3">
      <c r="A19" s="4" t="s">
        <v>27</v>
      </c>
      <c r="B19" s="5" t="s">
        <v>28</v>
      </c>
    </row>
    <row r="20" spans="1:3">
      <c r="A20" s="4" t="s">
        <v>29</v>
      </c>
      <c r="B20" s="5" t="s">
        <v>30</v>
      </c>
    </row>
    <row r="21" spans="1:3">
      <c r="A21" s="4" t="s">
        <v>31</v>
      </c>
      <c r="B21" s="5"/>
    </row>
    <row r="22" spans="1:3">
      <c r="A22" s="4" t="s">
        <v>32</v>
      </c>
      <c r="B22" s="5" t="s">
        <v>33</v>
      </c>
    </row>
    <row r="23" spans="1:3">
      <c r="A23" s="4" t="s">
        <v>34</v>
      </c>
      <c r="B23" s="5" t="s">
        <v>33</v>
      </c>
    </row>
    <row r="24" spans="1:3" s="6" customFormat="1">
      <c r="A24" s="6" t="s">
        <v>35</v>
      </c>
    </row>
    <row r="25" spans="1:3" ht="28.8">
      <c r="A25" s="4" t="s">
        <v>36</v>
      </c>
      <c r="B25" s="5" t="s">
        <v>89</v>
      </c>
      <c r="C25" s="5" t="s">
        <v>108</v>
      </c>
    </row>
    <row r="26" spans="1:3">
      <c r="A26" s="4" t="s">
        <v>37</v>
      </c>
      <c r="B26" t="str">
        <f>VLOOKUP(B$25,Materials!$B:$J,"3",FALSE)</f>
        <v>Ag, 3 um length, 50 nm diameter</v>
      </c>
      <c r="C26" t="str">
        <f>VLOOKUP(C$25,Materials!$B:$J,"3",FALSE)</f>
        <v>organic pigment Red 254 transparent, diketopyrrolopyrrole, 43nm, hydrophobic</v>
      </c>
    </row>
    <row r="27" spans="1:3">
      <c r="A27" s="4" t="s">
        <v>38</v>
      </c>
      <c r="B27" t="str">
        <f>VLOOKUP(B$25,Materials!$B:$J,"9",FALSE)</f>
        <v>Ag</v>
      </c>
      <c r="C27">
        <f>VLOOKUP(C$25,Materials!$B:$J,"9",FALSE)</f>
        <v>0</v>
      </c>
    </row>
    <row r="28" spans="1:3">
      <c r="A28" s="4" t="s">
        <v>39</v>
      </c>
      <c r="B28" t="str">
        <f>VLOOKUP(B$25,Materials!$B:$J,"4",FALSE)</f>
        <v>7440-22-4</v>
      </c>
      <c r="C28" t="str">
        <f>VLOOKUP(C$25,Materials!$B:$J,"4",FALSE)</f>
        <v>84632-65-5</v>
      </c>
    </row>
    <row r="29" spans="1:3">
      <c r="A29" s="4" t="s">
        <v>40</v>
      </c>
      <c r="B29" t="str">
        <f>VLOOKUP(B$25,Materials!$B:$J,"6",FALSE)</f>
        <v>NanoGap</v>
      </c>
      <c r="C29" t="str">
        <f>VLOOKUP(C$25,Materials!$B:$J,"6",FALSE)</f>
        <v>BASF</v>
      </c>
    </row>
    <row r="30" spans="1:3">
      <c r="A30" s="4" t="s">
        <v>41</v>
      </c>
      <c r="B30" s="5"/>
      <c r="C30" s="5"/>
    </row>
    <row r="31" spans="1:3">
      <c r="A31" s="4" t="s">
        <v>42</v>
      </c>
      <c r="B31">
        <f>VLOOKUP(B$25,Materials!$B:$J,"8",FALSE)</f>
        <v>0</v>
      </c>
      <c r="C31">
        <f>VLOOKUP(C$25,Materials!$B:$J,"8",FALSE)</f>
        <v>0</v>
      </c>
    </row>
    <row r="32" spans="1:3" ht="28.8">
      <c r="A32" s="4" t="s">
        <v>43</v>
      </c>
      <c r="B32" s="5" t="s">
        <v>33</v>
      </c>
      <c r="C32" s="5" t="s">
        <v>33</v>
      </c>
    </row>
    <row r="33" spans="1:17" s="6" customFormat="1">
      <c r="A33" s="6" t="s">
        <v>44</v>
      </c>
    </row>
    <row r="34" spans="1:17">
      <c r="A34" s="4" t="s">
        <v>45</v>
      </c>
      <c r="B34" s="5"/>
    </row>
    <row r="35" spans="1:17">
      <c r="A35" s="4" t="s">
        <v>46</v>
      </c>
      <c r="B35" s="5"/>
    </row>
    <row r="36" spans="1:17" s="6" customFormat="1">
      <c r="A36" s="6" t="s">
        <v>47</v>
      </c>
    </row>
    <row r="37" spans="1:17">
      <c r="A37" s="4" t="s">
        <v>48</v>
      </c>
      <c r="B37" s="5" t="s">
        <v>260</v>
      </c>
    </row>
    <row r="38" spans="1:17">
      <c r="A38" s="4" t="s">
        <v>49</v>
      </c>
      <c r="B38" s="5" t="s">
        <v>261</v>
      </c>
    </row>
    <row r="39" spans="1:17">
      <c r="A39" s="4" t="s">
        <v>50</v>
      </c>
      <c r="B39" s="5" t="s">
        <v>262</v>
      </c>
    </row>
    <row r="40" spans="1:17">
      <c r="A40" s="4" t="s">
        <v>51</v>
      </c>
      <c r="B40" s="5" t="s">
        <v>262</v>
      </c>
    </row>
    <row r="41" spans="1:17">
      <c r="A41" s="4" t="s">
        <v>52</v>
      </c>
      <c r="B41" s="5">
        <v>2</v>
      </c>
    </row>
    <row r="42" spans="1:17">
      <c r="A42" s="4" t="s">
        <v>53</v>
      </c>
      <c r="B42" s="5">
        <v>100</v>
      </c>
    </row>
    <row r="43" spans="1:17">
      <c r="A43" s="4" t="s">
        <v>54</v>
      </c>
      <c r="B43" s="5">
        <v>1000</v>
      </c>
    </row>
    <row r="44" spans="1:17" s="6" customFormat="1">
      <c r="A44" s="6" t="s">
        <v>55</v>
      </c>
    </row>
    <row r="45" spans="1:17">
      <c r="A45" s="4" t="s">
        <v>56</v>
      </c>
      <c r="B45" s="5" t="s">
        <v>57</v>
      </c>
    </row>
    <row r="46" spans="1:17">
      <c r="A46" s="4" t="s">
        <v>58</v>
      </c>
      <c r="B46" s="5" t="s">
        <v>59</v>
      </c>
      <c r="C46" s="5" t="s">
        <v>60</v>
      </c>
      <c r="D46" s="5" t="s">
        <v>61</v>
      </c>
      <c r="E46" s="5" t="s">
        <v>263</v>
      </c>
      <c r="F46" s="5"/>
      <c r="G46" s="5"/>
      <c r="H46" s="5"/>
      <c r="I46" s="5"/>
      <c r="J46" s="5"/>
      <c r="K46" s="5"/>
      <c r="L46" s="5"/>
      <c r="M46" s="5"/>
      <c r="N46" s="5"/>
      <c r="O46" s="5"/>
      <c r="P46" s="5"/>
    </row>
    <row r="47" spans="1:17">
      <c r="A47" s="4" t="s">
        <v>62</v>
      </c>
      <c r="B47" s="5">
        <v>0</v>
      </c>
      <c r="C47" s="5">
        <v>1</v>
      </c>
      <c r="D47" s="5">
        <v>10</v>
      </c>
      <c r="E47" s="5">
        <v>100</v>
      </c>
      <c r="F47" s="5"/>
      <c r="G47" s="5"/>
      <c r="H47" s="5"/>
      <c r="I47" s="5"/>
      <c r="J47" s="5"/>
      <c r="K47" s="5"/>
      <c r="L47" s="5"/>
      <c r="M47" s="5"/>
      <c r="N47" s="5"/>
      <c r="O47" s="5"/>
      <c r="P47" s="5"/>
      <c r="Q47" s="5"/>
    </row>
    <row r="48" spans="1:17">
      <c r="A48" s="4" t="s">
        <v>63</v>
      </c>
      <c r="B48" s="5"/>
    </row>
    <row r="49" spans="1:17" s="6" customFormat="1">
      <c r="A49" s="6" t="s">
        <v>64</v>
      </c>
    </row>
    <row r="50" spans="1:17">
      <c r="A50" s="4" t="s">
        <v>65</v>
      </c>
      <c r="B50" s="5" t="s">
        <v>66</v>
      </c>
    </row>
    <row r="51" spans="1:17">
      <c r="A51" s="4" t="s">
        <v>67</v>
      </c>
      <c r="B51" s="5" t="s">
        <v>68</v>
      </c>
      <c r="C51" s="5" t="s">
        <v>69</v>
      </c>
      <c r="D51" s="5" t="s">
        <v>70</v>
      </c>
      <c r="E51" s="5"/>
      <c r="F51" s="5"/>
      <c r="G51" s="5"/>
      <c r="H51" s="5"/>
      <c r="I51" s="5"/>
      <c r="J51" s="5"/>
      <c r="K51" s="5"/>
      <c r="L51" s="5"/>
      <c r="M51" s="5"/>
      <c r="N51" s="5"/>
      <c r="O51" s="5"/>
      <c r="P51" s="5"/>
    </row>
    <row r="52" spans="1:17">
      <c r="A52" s="4" t="s">
        <v>71</v>
      </c>
      <c r="B52" s="5">
        <v>1</v>
      </c>
      <c r="C52" s="5">
        <v>2</v>
      </c>
      <c r="D52" s="5">
        <v>3</v>
      </c>
      <c r="E52" s="5"/>
      <c r="F52" s="5"/>
      <c r="G52" s="5"/>
      <c r="H52" s="5"/>
      <c r="I52" s="5"/>
      <c r="J52" s="5"/>
      <c r="K52" s="5"/>
      <c r="L52" s="5"/>
      <c r="M52" s="5"/>
      <c r="N52" s="5"/>
      <c r="O52" s="5"/>
      <c r="P52" s="5"/>
      <c r="Q52" s="5"/>
    </row>
    <row r="53" spans="1:17" s="6" customFormat="1">
      <c r="A53" s="6" t="s">
        <v>72</v>
      </c>
    </row>
    <row r="54" spans="1:17">
      <c r="A54" s="4" t="s">
        <v>73</v>
      </c>
      <c r="B54" s="5"/>
    </row>
    <row r="55" spans="1:17">
      <c r="A55" s="4" t="s">
        <v>74</v>
      </c>
      <c r="B55" s="5"/>
    </row>
    <row r="56" spans="1:17">
      <c r="A56" s="4" t="s">
        <v>75</v>
      </c>
      <c r="B56" s="5"/>
    </row>
    <row r="57" spans="1:17">
      <c r="A57" s="4" t="s">
        <v>76</v>
      </c>
      <c r="B57" s="5"/>
    </row>
    <row r="58" spans="1:17" s="6" customFormat="1">
      <c r="A58" s="6" t="s">
        <v>77</v>
      </c>
    </row>
    <row r="59" spans="1:17">
      <c r="A59" s="4" t="s">
        <v>78</v>
      </c>
      <c r="B59" s="5">
        <v>1</v>
      </c>
      <c r="C59" s="5">
        <v>2</v>
      </c>
      <c r="D59" s="5"/>
      <c r="E59" s="5"/>
      <c r="F59" s="5"/>
      <c r="G59" s="5"/>
      <c r="H59" s="5"/>
      <c r="I59" s="5"/>
      <c r="J59" s="5"/>
      <c r="K59" s="5"/>
      <c r="L59" s="5"/>
      <c r="M59" s="5"/>
      <c r="N59" s="5"/>
      <c r="O59" s="5"/>
      <c r="P59" s="5"/>
      <c r="Q59" s="5"/>
    </row>
    <row r="60" spans="1:17">
      <c r="A60" s="4" t="s">
        <v>79</v>
      </c>
      <c r="B60" s="5">
        <v>1</v>
      </c>
      <c r="C60" s="5">
        <v>2</v>
      </c>
      <c r="D60" s="5"/>
      <c r="E60" s="5"/>
      <c r="F60" s="5"/>
      <c r="G60" s="5"/>
      <c r="H60" s="5"/>
      <c r="I60" s="5"/>
      <c r="J60" s="5"/>
      <c r="K60" s="5"/>
      <c r="L60" s="5"/>
      <c r="M60" s="5"/>
      <c r="N60" s="5"/>
      <c r="O60" s="5"/>
      <c r="P60" s="5"/>
      <c r="Q60" s="5"/>
    </row>
  </sheetData>
  <dataValidations count="1">
    <dataValidation type="list" allowBlank="1" showInputMessage="1" showErrorMessage="1" sqref="B25:C25">
      <formula1>ERM_Identifiers</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pane ySplit="2" topLeftCell="A3" activePane="bottomLeft" state="frozen"/>
      <selection pane="bottomLeft" activeCell="A10" sqref="A10"/>
    </sheetView>
  </sheetViews>
  <sheetFormatPr defaultRowHeight="14.4"/>
  <cols>
    <col min="1" max="1" width="27.88671875" customWidth="1"/>
    <col min="2" max="2" width="5.6640625" customWidth="1"/>
    <col min="3" max="3" width="14.6640625" customWidth="1"/>
    <col min="4" max="4" width="10.6640625" customWidth="1"/>
    <col min="5" max="5" width="11.6640625" customWidth="1"/>
  </cols>
  <sheetData>
    <row r="1" spans="1:5">
      <c r="A1" s="7" t="s">
        <v>80</v>
      </c>
      <c r="B1" s="7" t="s">
        <v>71</v>
      </c>
      <c r="C1" s="7" t="s">
        <v>62</v>
      </c>
      <c r="D1" s="7" t="s">
        <v>78</v>
      </c>
      <c r="E1" s="7" t="s">
        <v>26</v>
      </c>
    </row>
    <row r="2" spans="1:5">
      <c r="B2" t="s">
        <v>66</v>
      </c>
      <c r="C2" t="s">
        <v>57</v>
      </c>
      <c r="E2" t="s">
        <v>28</v>
      </c>
    </row>
    <row r="3" spans="1:5">
      <c r="A3" t="s">
        <v>89</v>
      </c>
      <c r="B3">
        <v>1</v>
      </c>
      <c r="C3">
        <v>0</v>
      </c>
      <c r="D3">
        <v>1</v>
      </c>
      <c r="E3">
        <f ca="1">RAND()</f>
        <v>0.48075977695312022</v>
      </c>
    </row>
    <row r="4" spans="1:5">
      <c r="A4" t="s">
        <v>89</v>
      </c>
      <c r="B4">
        <v>1</v>
      </c>
      <c r="C4">
        <v>10</v>
      </c>
      <c r="D4">
        <v>1</v>
      </c>
      <c r="E4">
        <f ca="1">E3*1.2 + RAND()</f>
        <v>1.0665316730965377</v>
      </c>
    </row>
    <row r="5" spans="1:5">
      <c r="A5" t="s">
        <v>89</v>
      </c>
      <c r="B5">
        <v>1</v>
      </c>
      <c r="C5">
        <v>100</v>
      </c>
      <c r="D5">
        <v>1</v>
      </c>
      <c r="E5">
        <f ca="1">E4*1.2 + RAND()</f>
        <v>2.2688809968951875</v>
      </c>
    </row>
    <row r="6" spans="1:5">
      <c r="A6" t="s">
        <v>89</v>
      </c>
      <c r="B6">
        <v>1</v>
      </c>
      <c r="C6">
        <v>0</v>
      </c>
      <c r="D6">
        <v>2</v>
      </c>
      <c r="E6">
        <f ca="1">RAND()</f>
        <v>0.25649261272108081</v>
      </c>
    </row>
    <row r="7" spans="1:5">
      <c r="A7" t="s">
        <v>89</v>
      </c>
      <c r="B7">
        <v>1</v>
      </c>
      <c r="C7">
        <v>10</v>
      </c>
      <c r="D7">
        <v>2</v>
      </c>
      <c r="E7">
        <f ca="1">E6*1.2 + RAND()</f>
        <v>0.97705386211401435</v>
      </c>
    </row>
    <row r="8" spans="1:5">
      <c r="A8" t="s">
        <v>89</v>
      </c>
      <c r="B8">
        <v>1</v>
      </c>
      <c r="C8">
        <v>100</v>
      </c>
      <c r="D8">
        <v>2</v>
      </c>
      <c r="E8">
        <f ca="1">E7*1.2 + RAND()</f>
        <v>2.0848931817024066</v>
      </c>
    </row>
    <row r="9" spans="1:5">
      <c r="A9" t="s">
        <v>108</v>
      </c>
      <c r="B9">
        <v>1</v>
      </c>
      <c r="C9">
        <v>0</v>
      </c>
      <c r="D9">
        <v>1</v>
      </c>
      <c r="E9">
        <f ca="1">RAND()</f>
        <v>0.1620927852395474</v>
      </c>
    </row>
    <row r="10" spans="1:5">
      <c r="A10" t="s">
        <v>108</v>
      </c>
      <c r="B10">
        <v>1</v>
      </c>
      <c r="C10">
        <v>10</v>
      </c>
      <c r="D10">
        <v>1</v>
      </c>
      <c r="E10">
        <f ca="1">E9*1.2 + RAND()</f>
        <v>0.30701432919776178</v>
      </c>
    </row>
    <row r="11" spans="1:5">
      <c r="A11" t="s">
        <v>108</v>
      </c>
      <c r="B11">
        <v>1</v>
      </c>
      <c r="C11">
        <v>100</v>
      </c>
      <c r="D11">
        <v>1</v>
      </c>
      <c r="E11">
        <f ca="1">E10*1.2 + RAND()</f>
        <v>0.80737855001870651</v>
      </c>
    </row>
    <row r="12" spans="1:5">
      <c r="A12" t="s">
        <v>108</v>
      </c>
      <c r="B12">
        <v>1</v>
      </c>
      <c r="C12">
        <v>0</v>
      </c>
      <c r="D12">
        <v>2</v>
      </c>
      <c r="E12">
        <f ca="1">RAND()</f>
        <v>0.42340730468542476</v>
      </c>
    </row>
    <row r="13" spans="1:5">
      <c r="A13" t="s">
        <v>108</v>
      </c>
      <c r="B13">
        <v>1</v>
      </c>
      <c r="C13">
        <v>10</v>
      </c>
      <c r="D13">
        <v>2</v>
      </c>
      <c r="E13">
        <f ca="1">E12*1.2 + RAND()</f>
        <v>1.5036942271111879</v>
      </c>
    </row>
    <row r="14" spans="1:5">
      <c r="A14" t="s">
        <v>108</v>
      </c>
      <c r="B14">
        <v>1</v>
      </c>
      <c r="C14">
        <v>100</v>
      </c>
      <c r="D14">
        <v>2</v>
      </c>
      <c r="E14">
        <f ca="1">E13*1.2 + RAND()</f>
        <v>2.5198441204310407</v>
      </c>
    </row>
  </sheetData>
  <dataValidations count="1">
    <dataValidation type="list" allowBlank="1" showInputMessage="1" showErrorMessage="1" sqref="A3:A1048576">
      <formula1>ERM_Identifiers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pane ySplit="2" topLeftCell="A3" activePane="bottomLeft" state="frozen"/>
      <selection pane="bottomLeft" activeCell="E3" sqref="E3:E8"/>
    </sheetView>
  </sheetViews>
  <sheetFormatPr defaultRowHeight="14.4"/>
  <cols>
    <col min="1" max="1" width="9.6640625" customWidth="1"/>
    <col min="2" max="2" width="5.6640625" customWidth="1"/>
    <col min="3" max="3" width="14.6640625" customWidth="1"/>
    <col min="4" max="4" width="38.6640625" customWidth="1"/>
    <col min="5" max="5" width="24.6640625" customWidth="1"/>
  </cols>
  <sheetData>
    <row r="1" spans="1:5">
      <c r="A1" s="7" t="s">
        <v>80</v>
      </c>
      <c r="B1" s="7" t="s">
        <v>71</v>
      </c>
      <c r="C1" s="7" t="s">
        <v>62</v>
      </c>
      <c r="D1" s="7" t="s">
        <v>21</v>
      </c>
      <c r="E1" s="7" t="s">
        <v>22</v>
      </c>
    </row>
    <row r="2" spans="1:5">
      <c r="D2" t="s">
        <v>24</v>
      </c>
      <c r="E2" t="s">
        <v>24</v>
      </c>
    </row>
    <row r="3" spans="1:5">
      <c r="A3" t="s">
        <v>89</v>
      </c>
      <c r="C3">
        <v>0</v>
      </c>
      <c r="D3">
        <v>1.4161660397528086E-3</v>
      </c>
      <c r="E3">
        <v>1.4161660397528086E-3</v>
      </c>
    </row>
    <row r="4" spans="1:5">
      <c r="A4" t="s">
        <v>89</v>
      </c>
      <c r="C4">
        <v>10</v>
      </c>
      <c r="D4">
        <v>0.92241503511812373</v>
      </c>
      <c r="E4">
        <v>0.92241503511812373</v>
      </c>
    </row>
    <row r="5" spans="1:5">
      <c r="A5" t="s">
        <v>89</v>
      </c>
      <c r="C5">
        <v>100</v>
      </c>
      <c r="D5">
        <v>1.1163050414419455</v>
      </c>
      <c r="E5">
        <v>1.1163050414419455</v>
      </c>
    </row>
    <row r="6" spans="1:5">
      <c r="A6" t="s">
        <v>108</v>
      </c>
      <c r="C6">
        <v>0</v>
      </c>
      <c r="D6">
        <v>1.4161660397528086E-3</v>
      </c>
      <c r="E6">
        <v>1.4161660397528086E-3</v>
      </c>
    </row>
    <row r="7" spans="1:5">
      <c r="A7" t="s">
        <v>108</v>
      </c>
      <c r="C7">
        <v>10</v>
      </c>
      <c r="D7">
        <v>0.92241503511812373</v>
      </c>
      <c r="E7">
        <v>0.92241503511812373</v>
      </c>
    </row>
    <row r="8" spans="1:5">
      <c r="A8" t="s">
        <v>108</v>
      </c>
      <c r="C8">
        <v>100</v>
      </c>
      <c r="D8">
        <v>1.1163050414419455</v>
      </c>
      <c r="E8">
        <v>1.1163050414419455</v>
      </c>
    </row>
  </sheetData>
  <dataValidations count="1">
    <dataValidation type="list" allowBlank="1" showInputMessage="1" showErrorMessage="1" sqref="D3:E3 D6:E6 A3:A1048576">
      <formula1>ERM_Identifiers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workbookViewId="0"/>
  </sheetViews>
  <sheetFormatPr defaultRowHeight="14.4"/>
  <sheetData>
    <row r="1" spans="1:11">
      <c r="A1" s="7"/>
      <c r="B1" s="7" t="s">
        <v>81</v>
      </c>
      <c r="C1" s="7" t="s">
        <v>82</v>
      </c>
      <c r="D1" s="7" t="s">
        <v>83</v>
      </c>
      <c r="E1" s="7" t="s">
        <v>84</v>
      </c>
      <c r="F1" s="7" t="s">
        <v>85</v>
      </c>
      <c r="G1" s="7" t="s">
        <v>49</v>
      </c>
      <c r="H1" s="7" t="s">
        <v>86</v>
      </c>
      <c r="I1" s="7" t="s">
        <v>42</v>
      </c>
      <c r="J1" s="7" t="s">
        <v>87</v>
      </c>
      <c r="K1" s="7" t="s">
        <v>88</v>
      </c>
    </row>
    <row r="2" spans="1:11">
      <c r="B2" t="s">
        <v>89</v>
      </c>
      <c r="C2" t="s">
        <v>89</v>
      </c>
      <c r="D2" t="s">
        <v>90</v>
      </c>
      <c r="E2" t="s">
        <v>91</v>
      </c>
      <c r="F2" t="s">
        <v>92</v>
      </c>
      <c r="G2" t="s">
        <v>93</v>
      </c>
      <c r="J2" t="s">
        <v>94</v>
      </c>
    </row>
    <row r="3" spans="1:11">
      <c r="B3" t="s">
        <v>95</v>
      </c>
      <c r="C3" t="s">
        <v>95</v>
      </c>
      <c r="D3" t="s">
        <v>96</v>
      </c>
      <c r="E3" t="s">
        <v>91</v>
      </c>
      <c r="F3" t="s">
        <v>92</v>
      </c>
      <c r="G3" t="s">
        <v>93</v>
      </c>
      <c r="J3" t="s">
        <v>94</v>
      </c>
    </row>
    <row r="4" spans="1:11">
      <c r="B4" t="s">
        <v>97</v>
      </c>
      <c r="C4" t="s">
        <v>97</v>
      </c>
      <c r="D4" t="s">
        <v>98</v>
      </c>
      <c r="E4" t="s">
        <v>99</v>
      </c>
      <c r="F4" t="s">
        <v>100</v>
      </c>
      <c r="G4" t="s">
        <v>101</v>
      </c>
    </row>
    <row r="5" spans="1:11">
      <c r="B5" t="s">
        <v>102</v>
      </c>
      <c r="C5" t="s">
        <v>102</v>
      </c>
      <c r="D5" t="s">
        <v>103</v>
      </c>
      <c r="E5" t="s">
        <v>104</v>
      </c>
      <c r="F5" t="s">
        <v>100</v>
      </c>
      <c r="G5" t="s">
        <v>101</v>
      </c>
    </row>
    <row r="6" spans="1:11">
      <c r="B6" t="s">
        <v>105</v>
      </c>
      <c r="C6" t="s">
        <v>105</v>
      </c>
      <c r="D6" t="s">
        <v>106</v>
      </c>
      <c r="E6" t="s">
        <v>107</v>
      </c>
      <c r="F6" t="s">
        <v>100</v>
      </c>
      <c r="G6" t="s">
        <v>101</v>
      </c>
    </row>
    <row r="7" spans="1:11">
      <c r="B7" t="s">
        <v>108</v>
      </c>
      <c r="C7" t="s">
        <v>108</v>
      </c>
      <c r="D7" t="s">
        <v>109</v>
      </c>
      <c r="E7" t="s">
        <v>107</v>
      </c>
      <c r="F7" t="s">
        <v>100</v>
      </c>
      <c r="G7" t="s">
        <v>101</v>
      </c>
    </row>
    <row r="8" spans="1:11">
      <c r="B8" t="s">
        <v>110</v>
      </c>
      <c r="C8" t="s">
        <v>110</v>
      </c>
      <c r="D8" t="s">
        <v>111</v>
      </c>
      <c r="E8" t="s">
        <v>107</v>
      </c>
      <c r="F8" t="s">
        <v>100</v>
      </c>
      <c r="G8" t="s">
        <v>101</v>
      </c>
    </row>
    <row r="9" spans="1:11">
      <c r="B9" t="s">
        <v>112</v>
      </c>
      <c r="C9" t="s">
        <v>112</v>
      </c>
      <c r="D9" t="s">
        <v>113</v>
      </c>
      <c r="E9" t="s">
        <v>114</v>
      </c>
      <c r="F9" t="s">
        <v>115</v>
      </c>
      <c r="G9" t="s">
        <v>101</v>
      </c>
      <c r="J9" t="s">
        <v>116</v>
      </c>
    </row>
    <row r="10" spans="1:11">
      <c r="B10" t="s">
        <v>117</v>
      </c>
      <c r="C10" t="s">
        <v>117</v>
      </c>
      <c r="D10" t="s">
        <v>118</v>
      </c>
      <c r="E10" t="s">
        <v>114</v>
      </c>
      <c r="F10" t="s">
        <v>115</v>
      </c>
      <c r="G10" t="s">
        <v>101</v>
      </c>
      <c r="J10" t="s">
        <v>116</v>
      </c>
    </row>
    <row r="11" spans="1:11">
      <c r="B11" t="s">
        <v>119</v>
      </c>
      <c r="C11" t="s">
        <v>119</v>
      </c>
      <c r="D11" t="s">
        <v>120</v>
      </c>
      <c r="E11" t="s">
        <v>121</v>
      </c>
      <c r="F11" t="s">
        <v>115</v>
      </c>
      <c r="G11" t="s">
        <v>122</v>
      </c>
      <c r="J11" t="s">
        <v>123</v>
      </c>
    </row>
    <row r="12" spans="1:11">
      <c r="B12" t="s">
        <v>124</v>
      </c>
      <c r="C12" t="s">
        <v>124</v>
      </c>
      <c r="D12" t="s">
        <v>125</v>
      </c>
      <c r="E12" t="s">
        <v>114</v>
      </c>
      <c r="F12" t="s">
        <v>115</v>
      </c>
      <c r="G12" t="s">
        <v>122</v>
      </c>
      <c r="J12" t="s">
        <v>126</v>
      </c>
    </row>
    <row r="13" spans="1:11">
      <c r="B13" t="s">
        <v>127</v>
      </c>
      <c r="C13" t="s">
        <v>127</v>
      </c>
      <c r="D13" t="s">
        <v>128</v>
      </c>
      <c r="E13" t="s">
        <v>129</v>
      </c>
      <c r="F13" t="s">
        <v>130</v>
      </c>
      <c r="G13" t="s">
        <v>131</v>
      </c>
      <c r="J13" t="s">
        <v>132</v>
      </c>
    </row>
    <row r="14" spans="1:11">
      <c r="B14" t="s">
        <v>133</v>
      </c>
      <c r="C14" t="s">
        <v>133</v>
      </c>
      <c r="D14" t="s">
        <v>134</v>
      </c>
      <c r="E14" t="s">
        <v>129</v>
      </c>
      <c r="F14" t="s">
        <v>130</v>
      </c>
      <c r="G14" t="s">
        <v>131</v>
      </c>
      <c r="J14" t="s">
        <v>132</v>
      </c>
    </row>
    <row r="15" spans="1:11">
      <c r="B15" t="s">
        <v>135</v>
      </c>
      <c r="C15" t="s">
        <v>135</v>
      </c>
      <c r="D15" t="s">
        <v>136</v>
      </c>
      <c r="E15" t="s">
        <v>137</v>
      </c>
      <c r="F15" t="s">
        <v>138</v>
      </c>
      <c r="J15" t="s">
        <v>139</v>
      </c>
    </row>
    <row r="16" spans="1:11">
      <c r="B16" t="s">
        <v>140</v>
      </c>
      <c r="C16" t="s">
        <v>140</v>
      </c>
      <c r="D16" t="s">
        <v>141</v>
      </c>
      <c r="E16" t="s">
        <v>129</v>
      </c>
      <c r="F16" t="s">
        <v>130</v>
      </c>
      <c r="G16" t="s">
        <v>131</v>
      </c>
      <c r="J16" t="s">
        <v>132</v>
      </c>
    </row>
    <row r="17" spans="2:10">
      <c r="B17" t="s">
        <v>142</v>
      </c>
      <c r="C17" t="s">
        <v>142</v>
      </c>
      <c r="D17" t="s">
        <v>143</v>
      </c>
      <c r="E17" t="s">
        <v>129</v>
      </c>
      <c r="F17" t="s">
        <v>130</v>
      </c>
      <c r="G17" t="s">
        <v>131</v>
      </c>
      <c r="J17" t="s">
        <v>132</v>
      </c>
    </row>
    <row r="18" spans="2:10">
      <c r="B18" t="s">
        <v>144</v>
      </c>
      <c r="C18" t="s">
        <v>144</v>
      </c>
      <c r="D18" t="s">
        <v>145</v>
      </c>
      <c r="E18" t="s">
        <v>129</v>
      </c>
      <c r="F18" t="s">
        <v>130</v>
      </c>
      <c r="G18" t="s">
        <v>131</v>
      </c>
    </row>
    <row r="19" spans="2:10">
      <c r="B19" t="s">
        <v>146</v>
      </c>
      <c r="C19" t="s">
        <v>146</v>
      </c>
      <c r="D19" t="s">
        <v>147</v>
      </c>
      <c r="F19" t="s">
        <v>148</v>
      </c>
      <c r="G19" t="s">
        <v>149</v>
      </c>
      <c r="J19" t="s">
        <v>146</v>
      </c>
    </row>
    <row r="20" spans="2:10">
      <c r="B20" t="s">
        <v>150</v>
      </c>
      <c r="C20" t="s">
        <v>150</v>
      </c>
      <c r="D20" t="s">
        <v>151</v>
      </c>
      <c r="F20" t="s">
        <v>148</v>
      </c>
      <c r="G20" t="s">
        <v>149</v>
      </c>
      <c r="J20" t="s">
        <v>146</v>
      </c>
    </row>
    <row r="21" spans="2:10">
      <c r="B21" t="s">
        <v>152</v>
      </c>
      <c r="C21" t="s">
        <v>152</v>
      </c>
      <c r="D21" t="s">
        <v>153</v>
      </c>
      <c r="F21" t="s">
        <v>148</v>
      </c>
      <c r="G21" t="s">
        <v>149</v>
      </c>
      <c r="J21" t="s">
        <v>154</v>
      </c>
    </row>
    <row r="22" spans="2:10">
      <c r="B22" t="s">
        <v>155</v>
      </c>
      <c r="C22" t="s">
        <v>156</v>
      </c>
      <c r="D22" t="s">
        <v>155</v>
      </c>
      <c r="F22" t="s">
        <v>148</v>
      </c>
      <c r="G22" t="s">
        <v>149</v>
      </c>
      <c r="J22" t="s">
        <v>154</v>
      </c>
    </row>
    <row r="23" spans="2:10">
      <c r="B23" t="s">
        <v>157</v>
      </c>
      <c r="C23" t="s">
        <v>157</v>
      </c>
      <c r="D23" t="s">
        <v>158</v>
      </c>
      <c r="F23" t="s">
        <v>148</v>
      </c>
      <c r="G23" t="s">
        <v>149</v>
      </c>
      <c r="J23" t="s">
        <v>154</v>
      </c>
    </row>
    <row r="24" spans="2:10">
      <c r="B24" t="s">
        <v>159</v>
      </c>
      <c r="C24" t="s">
        <v>159</v>
      </c>
      <c r="D24" t="s">
        <v>160</v>
      </c>
      <c r="E24" t="s">
        <v>161</v>
      </c>
      <c r="F24" t="s">
        <v>162</v>
      </c>
      <c r="G24" t="s">
        <v>163</v>
      </c>
      <c r="J24" t="s">
        <v>164</v>
      </c>
    </row>
    <row r="25" spans="2:10">
      <c r="B25" t="s">
        <v>165</v>
      </c>
      <c r="C25" t="s">
        <v>165</v>
      </c>
      <c r="D25" t="s">
        <v>166</v>
      </c>
      <c r="E25" t="s">
        <v>161</v>
      </c>
      <c r="F25" t="s">
        <v>162</v>
      </c>
      <c r="G25" t="s">
        <v>163</v>
      </c>
      <c r="J25" t="s">
        <v>164</v>
      </c>
    </row>
    <row r="26" spans="2:10">
      <c r="B26" t="s">
        <v>167</v>
      </c>
      <c r="C26" t="s">
        <v>167</v>
      </c>
      <c r="D26" t="s">
        <v>168</v>
      </c>
      <c r="E26" t="s">
        <v>161</v>
      </c>
      <c r="F26" t="s">
        <v>169</v>
      </c>
      <c r="G26" t="s">
        <v>163</v>
      </c>
      <c r="J26" t="s">
        <v>164</v>
      </c>
    </row>
    <row r="27" spans="2:10">
      <c r="B27" t="s">
        <v>170</v>
      </c>
      <c r="C27" t="s">
        <v>170</v>
      </c>
      <c r="D27" t="s">
        <v>171</v>
      </c>
      <c r="E27" t="s">
        <v>172</v>
      </c>
      <c r="F27" t="s">
        <v>173</v>
      </c>
      <c r="G27" t="s">
        <v>174</v>
      </c>
      <c r="J27" t="s">
        <v>175</v>
      </c>
    </row>
    <row r="28" spans="2:10">
      <c r="B28" t="s">
        <v>176</v>
      </c>
      <c r="C28" t="s">
        <v>176</v>
      </c>
      <c r="D28" t="s">
        <v>176</v>
      </c>
      <c r="E28" t="s">
        <v>91</v>
      </c>
      <c r="F28" t="s">
        <v>92</v>
      </c>
      <c r="G28" t="s">
        <v>174</v>
      </c>
      <c r="J28" t="s">
        <v>94</v>
      </c>
    </row>
    <row r="29" spans="2:10">
      <c r="B29" t="s">
        <v>177</v>
      </c>
      <c r="C29" t="s">
        <v>177</v>
      </c>
      <c r="D29" t="s">
        <v>177</v>
      </c>
      <c r="E29" t="s">
        <v>178</v>
      </c>
      <c r="F29" t="s">
        <v>179</v>
      </c>
      <c r="G29" t="s">
        <v>174</v>
      </c>
      <c r="J29" t="s">
        <v>180</v>
      </c>
    </row>
    <row r="30" spans="2:10">
      <c r="B30" t="s">
        <v>181</v>
      </c>
      <c r="C30" t="s">
        <v>181</v>
      </c>
      <c r="D30" t="s">
        <v>181</v>
      </c>
      <c r="E30" t="s">
        <v>129</v>
      </c>
      <c r="G30" t="s">
        <v>174</v>
      </c>
      <c r="J30" t="s">
        <v>132</v>
      </c>
    </row>
    <row r="31" spans="2:10">
      <c r="B31" t="s">
        <v>182</v>
      </c>
      <c r="C31" t="s">
        <v>182</v>
      </c>
      <c r="D31" t="s">
        <v>182</v>
      </c>
      <c r="E31" t="s">
        <v>183</v>
      </c>
      <c r="G31" t="s">
        <v>174</v>
      </c>
      <c r="J31" t="s">
        <v>184</v>
      </c>
    </row>
    <row r="32" spans="2:10">
      <c r="B32" t="s">
        <v>185</v>
      </c>
      <c r="C32" t="s">
        <v>185</v>
      </c>
      <c r="D32" t="s">
        <v>186</v>
      </c>
      <c r="F32" t="s">
        <v>173</v>
      </c>
      <c r="G32" t="s">
        <v>174</v>
      </c>
      <c r="J32" t="s">
        <v>175</v>
      </c>
    </row>
    <row r="33" spans="2:10">
      <c r="B33" t="s">
        <v>187</v>
      </c>
      <c r="C33" t="s">
        <v>187</v>
      </c>
      <c r="D33" t="s">
        <v>188</v>
      </c>
      <c r="E33" t="s">
        <v>137</v>
      </c>
      <c r="F33" t="s">
        <v>138</v>
      </c>
      <c r="G33" t="s">
        <v>174</v>
      </c>
      <c r="J33" t="s">
        <v>139</v>
      </c>
    </row>
    <row r="34" spans="2:10">
      <c r="B34" t="s">
        <v>189</v>
      </c>
      <c r="C34" t="s">
        <v>189</v>
      </c>
      <c r="D34" t="s">
        <v>190</v>
      </c>
      <c r="E34" t="s">
        <v>191</v>
      </c>
      <c r="F34" t="s">
        <v>192</v>
      </c>
      <c r="J34" t="s">
        <v>193</v>
      </c>
    </row>
    <row r="35" spans="2:10">
      <c r="B35" t="s">
        <v>194</v>
      </c>
      <c r="C35" t="s">
        <v>194</v>
      </c>
      <c r="D35" t="s">
        <v>195</v>
      </c>
      <c r="E35" t="s">
        <v>196</v>
      </c>
      <c r="F35" t="s">
        <v>197</v>
      </c>
      <c r="J35" t="s">
        <v>198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9"/>
  <sheetViews>
    <sheetView workbookViewId="0"/>
  </sheetViews>
  <sheetFormatPr defaultRowHeight="14.4"/>
  <sheetData>
    <row r="1" spans="1:13">
      <c r="A1" s="8" t="s">
        <v>199</v>
      </c>
      <c r="B1" s="9">
        <v>1</v>
      </c>
      <c r="C1" s="9">
        <v>2</v>
      </c>
      <c r="D1" s="9">
        <v>3</v>
      </c>
      <c r="E1" s="9">
        <v>4</v>
      </c>
      <c r="F1" s="9">
        <v>5</v>
      </c>
      <c r="G1" s="9">
        <v>6</v>
      </c>
      <c r="H1" s="9">
        <v>7</v>
      </c>
      <c r="I1" s="9">
        <v>8</v>
      </c>
      <c r="J1" s="9">
        <v>9</v>
      </c>
      <c r="K1" s="9">
        <v>10</v>
      </c>
      <c r="L1" s="9">
        <v>11</v>
      </c>
      <c r="M1" s="9">
        <v>12</v>
      </c>
    </row>
    <row r="2" spans="1:13">
      <c r="A2" s="9" t="s">
        <v>200</v>
      </c>
      <c r="B2" s="10">
        <f t="shared" ref="B2:M9" ca="1" si="0">B$1+RAND()</f>
        <v>1.0654855823928528</v>
      </c>
      <c r="C2" s="10">
        <f t="shared" ca="1" si="0"/>
        <v>2.0259036078965353</v>
      </c>
      <c r="D2" s="10">
        <f t="shared" ca="1" si="0"/>
        <v>3.8898983953942881</v>
      </c>
      <c r="E2" s="10">
        <f t="shared" ca="1" si="0"/>
        <v>4.8897774743527149</v>
      </c>
      <c r="F2" s="10">
        <f t="shared" ca="1" si="0"/>
        <v>5.3704814589654184</v>
      </c>
      <c r="G2" s="10">
        <f t="shared" ca="1" si="0"/>
        <v>6.1453968928694644</v>
      </c>
      <c r="H2" s="10">
        <f t="shared" ca="1" si="0"/>
        <v>7.2185794852504426</v>
      </c>
      <c r="I2" s="10">
        <f t="shared" ca="1" si="0"/>
        <v>8.3929060791118619</v>
      </c>
      <c r="J2" s="10">
        <f t="shared" ca="1" si="0"/>
        <v>9.9078860174563221</v>
      </c>
      <c r="K2" s="10">
        <f t="shared" ca="1" si="0"/>
        <v>10.059151583631042</v>
      </c>
      <c r="L2" s="10">
        <f t="shared" ca="1" si="0"/>
        <v>11.129127582911794</v>
      </c>
      <c r="M2" s="10">
        <f t="shared" ca="1" si="0"/>
        <v>12.30053228711248</v>
      </c>
    </row>
    <row r="3" spans="1:13">
      <c r="A3" s="9" t="s">
        <v>201</v>
      </c>
      <c r="B3" s="10">
        <f t="shared" ca="1" si="0"/>
        <v>1.5495356538214606</v>
      </c>
      <c r="C3" s="10">
        <f t="shared" ca="1" si="0"/>
        <v>2.1205710865992535</v>
      </c>
      <c r="D3" s="10">
        <f t="shared" ca="1" si="0"/>
        <v>3.6412025528280214</v>
      </c>
      <c r="E3" s="10">
        <f t="shared" ca="1" si="0"/>
        <v>4.4622762501034874</v>
      </c>
      <c r="F3" s="10">
        <f t="shared" ca="1" si="0"/>
        <v>5.3861818132888679</v>
      </c>
      <c r="G3" s="10">
        <f t="shared" ca="1" si="0"/>
        <v>6.2263504634695055</v>
      </c>
      <c r="H3" s="10">
        <f t="shared" ca="1" si="0"/>
        <v>7.1138627095320226</v>
      </c>
      <c r="I3" s="10">
        <f t="shared" ca="1" si="0"/>
        <v>8.226886222470176</v>
      </c>
      <c r="J3" s="10">
        <f t="shared" ca="1" si="0"/>
        <v>9.2109893473642508</v>
      </c>
      <c r="K3" s="10">
        <f t="shared" ca="1" si="0"/>
        <v>10.165995367550863</v>
      </c>
      <c r="L3" s="10">
        <f t="shared" ca="1" si="0"/>
        <v>11.749806255617527</v>
      </c>
      <c r="M3" s="10">
        <f t="shared" ca="1" si="0"/>
        <v>12.140486684965079</v>
      </c>
    </row>
    <row r="4" spans="1:13">
      <c r="A4" s="9" t="s">
        <v>202</v>
      </c>
      <c r="B4" s="10">
        <f t="shared" ca="1" si="0"/>
        <v>1.6564151723049503</v>
      </c>
      <c r="C4" s="10">
        <f t="shared" ca="1" si="0"/>
        <v>2.6743901200848592</v>
      </c>
      <c r="D4" s="10">
        <f t="shared" ca="1" si="0"/>
        <v>3.9074409950149596</v>
      </c>
      <c r="E4" s="10">
        <f t="shared" ca="1" si="0"/>
        <v>4.2722282124304716</v>
      </c>
      <c r="F4" s="10">
        <f t="shared" ca="1" si="0"/>
        <v>5.4723200055611532</v>
      </c>
      <c r="G4" s="10">
        <f t="shared" ca="1" si="0"/>
        <v>6.1871060696634705</v>
      </c>
      <c r="H4" s="10">
        <f t="shared" ca="1" si="0"/>
        <v>7.1641865031330658</v>
      </c>
      <c r="I4" s="10">
        <f t="shared" ca="1" si="0"/>
        <v>8.9636158387179794</v>
      </c>
      <c r="J4" s="10">
        <f t="shared" ca="1" si="0"/>
        <v>9.1849643949745445</v>
      </c>
      <c r="K4" s="10">
        <f t="shared" ca="1" si="0"/>
        <v>10.445339112756177</v>
      </c>
      <c r="L4" s="10">
        <f t="shared" ca="1" si="0"/>
        <v>11.389148083755062</v>
      </c>
      <c r="M4" s="10">
        <f t="shared" ca="1" si="0"/>
        <v>12.222190074692042</v>
      </c>
    </row>
    <row r="5" spans="1:13">
      <c r="A5" s="9" t="s">
        <v>203</v>
      </c>
      <c r="B5" s="10">
        <f t="shared" ca="1" si="0"/>
        <v>1.3008375366887737</v>
      </c>
      <c r="C5" s="10">
        <f t="shared" ca="1" si="0"/>
        <v>2.6481141134989321</v>
      </c>
      <c r="D5" s="10">
        <f t="shared" ca="1" si="0"/>
        <v>3.0331857134666436</v>
      </c>
      <c r="E5" s="10">
        <f t="shared" ca="1" si="0"/>
        <v>4.1240250739684683</v>
      </c>
      <c r="F5" s="10">
        <f t="shared" ca="1" si="0"/>
        <v>5.2202015684311807</v>
      </c>
      <c r="G5" s="10">
        <f t="shared" ca="1" si="0"/>
        <v>6.127850041436762</v>
      </c>
      <c r="H5" s="10">
        <f t="shared" ca="1" si="0"/>
        <v>7.9316990995274734</v>
      </c>
      <c r="I5" s="10">
        <f t="shared" ca="1" si="0"/>
        <v>8.281375406818448</v>
      </c>
      <c r="J5" s="10">
        <f t="shared" ca="1" si="0"/>
        <v>9.5675117323508019</v>
      </c>
      <c r="K5" s="10">
        <f t="shared" ca="1" si="0"/>
        <v>10.526910889859154</v>
      </c>
      <c r="L5" s="10">
        <f t="shared" ca="1" si="0"/>
        <v>11.857488007532185</v>
      </c>
      <c r="M5" s="10">
        <f t="shared" ca="1" si="0"/>
        <v>12.554284840588846</v>
      </c>
    </row>
    <row r="6" spans="1:13">
      <c r="A6" s="9" t="s">
        <v>204</v>
      </c>
      <c r="B6" s="10">
        <f t="shared" ca="1" si="0"/>
        <v>1.9765630861972421</v>
      </c>
      <c r="C6" s="10">
        <f t="shared" ca="1" si="0"/>
        <v>2.450576232826005</v>
      </c>
      <c r="D6" s="10">
        <f t="shared" ca="1" si="0"/>
        <v>3.1020443809402103</v>
      </c>
      <c r="E6" s="10">
        <f t="shared" ca="1" si="0"/>
        <v>4.7514083528541056</v>
      </c>
      <c r="F6" s="10">
        <f t="shared" ca="1" si="0"/>
        <v>5.0496997788207674</v>
      </c>
      <c r="G6" s="10">
        <f t="shared" ca="1" si="0"/>
        <v>6.606660526877965</v>
      </c>
      <c r="H6" s="10">
        <f t="shared" ca="1" si="0"/>
        <v>7.2735231830861498</v>
      </c>
      <c r="I6" s="10">
        <f t="shared" ca="1" si="0"/>
        <v>8.1037387144069051</v>
      </c>
      <c r="J6" s="10">
        <f t="shared" ca="1" si="0"/>
        <v>9.0482808551491267</v>
      </c>
      <c r="K6" s="10">
        <f t="shared" ca="1" si="0"/>
        <v>10.643873865478561</v>
      </c>
      <c r="L6" s="10">
        <f t="shared" ca="1" si="0"/>
        <v>11.67480700518335</v>
      </c>
      <c r="M6" s="10">
        <f t="shared" ca="1" si="0"/>
        <v>12.288150479983457</v>
      </c>
    </row>
    <row r="7" spans="1:13">
      <c r="A7" s="9" t="s">
        <v>205</v>
      </c>
      <c r="B7" s="10">
        <f t="shared" ca="1" si="0"/>
        <v>1.3730591695228012</v>
      </c>
      <c r="C7" s="10">
        <f t="shared" ca="1" si="0"/>
        <v>2.1547522816447602</v>
      </c>
      <c r="D7" s="10">
        <f t="shared" ca="1" si="0"/>
        <v>3.2659351205073808</v>
      </c>
      <c r="E7" s="10">
        <f t="shared" ca="1" si="0"/>
        <v>4.8979525193288902</v>
      </c>
      <c r="F7" s="10">
        <f t="shared" ca="1" si="0"/>
        <v>5.1384703389446997</v>
      </c>
      <c r="G7" s="10">
        <f t="shared" ca="1" si="0"/>
        <v>6.4102805173767141</v>
      </c>
      <c r="H7" s="10">
        <f t="shared" ca="1" si="0"/>
        <v>7.5495401491912117</v>
      </c>
      <c r="I7" s="10">
        <f t="shared" ca="1" si="0"/>
        <v>8.1469857792781681</v>
      </c>
      <c r="J7" s="10">
        <f t="shared" ca="1" si="0"/>
        <v>9.730345463950334</v>
      </c>
      <c r="K7" s="10">
        <f t="shared" ca="1" si="0"/>
        <v>10.563763165886112</v>
      </c>
      <c r="L7" s="10">
        <f t="shared" ca="1" si="0"/>
        <v>11.924878773304297</v>
      </c>
      <c r="M7" s="10">
        <f t="shared" ca="1" si="0"/>
        <v>12.336202822555155</v>
      </c>
    </row>
    <row r="8" spans="1:13">
      <c r="A8" s="9" t="s">
        <v>206</v>
      </c>
      <c r="B8" s="10">
        <f t="shared" ca="1" si="0"/>
        <v>1.4663960047665943</v>
      </c>
      <c r="C8" s="10">
        <f t="shared" ca="1" si="0"/>
        <v>2.9628418806789742</v>
      </c>
      <c r="D8" s="10">
        <f t="shared" ca="1" si="0"/>
        <v>3.0888660435632342</v>
      </c>
      <c r="E8" s="10">
        <f t="shared" ca="1" si="0"/>
        <v>4.9370469689595282</v>
      </c>
      <c r="F8" s="10">
        <f t="shared" ca="1" si="0"/>
        <v>5.2603538323904715</v>
      </c>
      <c r="G8" s="10">
        <f t="shared" ca="1" si="0"/>
        <v>6.6471820520197848</v>
      </c>
      <c r="H8" s="10">
        <f t="shared" ca="1" si="0"/>
        <v>7.3892676992148489</v>
      </c>
      <c r="I8" s="10">
        <f t="shared" ca="1" si="0"/>
        <v>8.416602513207474</v>
      </c>
      <c r="J8" s="10">
        <f t="shared" ca="1" si="0"/>
        <v>9.597894313465293</v>
      </c>
      <c r="K8" s="10">
        <f t="shared" ca="1" si="0"/>
        <v>10.590917904984055</v>
      </c>
      <c r="L8" s="10">
        <f t="shared" ca="1" si="0"/>
        <v>11.127084166709516</v>
      </c>
      <c r="M8" s="10">
        <f t="shared" ca="1" si="0"/>
        <v>12.174448471389603</v>
      </c>
    </row>
    <row r="9" spans="1:13">
      <c r="A9" s="9" t="s">
        <v>207</v>
      </c>
      <c r="B9" s="10">
        <f t="shared" ca="1" si="0"/>
        <v>1.0514389400474535</v>
      </c>
      <c r="C9" s="10">
        <f t="shared" ca="1" si="0"/>
        <v>2.3264683951647029</v>
      </c>
      <c r="D9" s="10">
        <f t="shared" ca="1" si="0"/>
        <v>3.8653794985343897</v>
      </c>
      <c r="E9" s="10">
        <f t="shared" ca="1" si="0"/>
        <v>4.6425386512982048</v>
      </c>
      <c r="F9" s="10">
        <f t="shared" ca="1" si="0"/>
        <v>5.3872433916233602</v>
      </c>
      <c r="G9" s="10">
        <f t="shared" ca="1" si="0"/>
        <v>6.8073616011393483</v>
      </c>
      <c r="H9" s="10">
        <f t="shared" ca="1" si="0"/>
        <v>7.3858506772873556</v>
      </c>
      <c r="I9" s="10">
        <f t="shared" ca="1" si="0"/>
        <v>8.4945983526651645</v>
      </c>
      <c r="J9" s="10">
        <f t="shared" ca="1" si="0"/>
        <v>9.4315825039543171</v>
      </c>
      <c r="K9" s="10">
        <f t="shared" ca="1" si="0"/>
        <v>10.033821668957932</v>
      </c>
      <c r="L9" s="10">
        <f t="shared" ca="1" si="0"/>
        <v>11.836975779693146</v>
      </c>
      <c r="M9" s="10">
        <f t="shared" ca="1" si="0"/>
        <v>12.560009852263768</v>
      </c>
    </row>
  </sheetData>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9"/>
  <sheetViews>
    <sheetView workbookViewId="0"/>
  </sheetViews>
  <sheetFormatPr defaultRowHeight="14.4"/>
  <sheetData>
    <row r="1" spans="1:13">
      <c r="A1" s="8" t="s">
        <v>199</v>
      </c>
      <c r="B1" s="9">
        <v>1</v>
      </c>
      <c r="C1" s="9">
        <v>2</v>
      </c>
      <c r="D1" s="9">
        <v>3</v>
      </c>
      <c r="E1" s="9">
        <v>4</v>
      </c>
      <c r="F1" s="9">
        <v>5</v>
      </c>
      <c r="G1" s="9">
        <v>6</v>
      </c>
      <c r="H1" s="9">
        <v>7</v>
      </c>
      <c r="I1" s="9">
        <v>8</v>
      </c>
      <c r="J1" s="9">
        <v>9</v>
      </c>
      <c r="K1" s="9">
        <v>10</v>
      </c>
      <c r="L1" s="9">
        <v>11</v>
      </c>
      <c r="M1" s="9">
        <v>12</v>
      </c>
    </row>
    <row r="2" spans="1:13">
      <c r="A2" s="9" t="s">
        <v>200</v>
      </c>
      <c r="B2" s="10" t="s">
        <v>208</v>
      </c>
      <c r="C2" s="10" t="s">
        <v>209</v>
      </c>
      <c r="D2" s="10" t="s">
        <v>210</v>
      </c>
      <c r="E2" s="10" t="s">
        <v>211</v>
      </c>
      <c r="F2" s="10" t="s">
        <v>212</v>
      </c>
      <c r="G2" s="10" t="s">
        <v>213</v>
      </c>
      <c r="H2" s="10" t="s">
        <v>214</v>
      </c>
      <c r="I2" s="10" t="s">
        <v>215</v>
      </c>
      <c r="J2" s="10" t="s">
        <v>216</v>
      </c>
      <c r="K2" s="10" t="s">
        <v>217</v>
      </c>
      <c r="L2" s="10" t="s">
        <v>218</v>
      </c>
      <c r="M2" s="10" t="s">
        <v>219</v>
      </c>
    </row>
    <row r="3" spans="1:13">
      <c r="A3" s="9" t="s">
        <v>201</v>
      </c>
      <c r="B3" s="10">
        <f t="shared" ref="B3:M4" ca="1" si="0">B$1+RAND()</f>
        <v>1.6678100733712014</v>
      </c>
      <c r="C3" s="10">
        <f t="shared" ca="1" si="0"/>
        <v>2.2872568146951613</v>
      </c>
      <c r="D3" s="10">
        <f t="shared" ca="1" si="0"/>
        <v>3.2491018944114618</v>
      </c>
      <c r="E3" s="10">
        <f t="shared" ca="1" si="0"/>
        <v>4.1890876275786528</v>
      </c>
      <c r="F3" s="10">
        <f t="shared" ca="1" si="0"/>
        <v>5.351255067392696</v>
      </c>
      <c r="G3" s="10">
        <f t="shared" ca="1" si="0"/>
        <v>6.2147719189046775</v>
      </c>
      <c r="H3" s="10">
        <f t="shared" ca="1" si="0"/>
        <v>7.3298357917360253</v>
      </c>
      <c r="I3" s="10">
        <f t="shared" ca="1" si="0"/>
        <v>8.9357966548549115</v>
      </c>
      <c r="J3" s="10">
        <f t="shared" ca="1" si="0"/>
        <v>9.9140813122138702</v>
      </c>
      <c r="K3" s="10">
        <f t="shared" ca="1" si="0"/>
        <v>10.560795491187267</v>
      </c>
      <c r="L3" s="10">
        <f t="shared" ca="1" si="0"/>
        <v>11.583576333181069</v>
      </c>
      <c r="M3" s="10">
        <f t="shared" ca="1" si="0"/>
        <v>12.570899916282928</v>
      </c>
    </row>
    <row r="4" spans="1:13">
      <c r="A4" s="9" t="s">
        <v>202</v>
      </c>
      <c r="B4" s="10">
        <f t="shared" ca="1" si="0"/>
        <v>1.830561931168915</v>
      </c>
      <c r="C4" s="10">
        <f t="shared" ca="1" si="0"/>
        <v>2.6967785454544377</v>
      </c>
      <c r="D4" s="10">
        <f t="shared" ca="1" si="0"/>
        <v>3.7677592793799199</v>
      </c>
      <c r="E4" s="10">
        <f t="shared" ca="1" si="0"/>
        <v>4.6420596985508222</v>
      </c>
      <c r="F4" s="10">
        <f t="shared" ca="1" si="0"/>
        <v>5.0031304834467329</v>
      </c>
      <c r="G4" s="10">
        <f t="shared" ca="1" si="0"/>
        <v>6.7074610705487387</v>
      </c>
      <c r="H4" s="10">
        <f t="shared" ca="1" si="0"/>
        <v>7.4835300305632968</v>
      </c>
      <c r="I4" s="10">
        <f t="shared" ca="1" si="0"/>
        <v>8.5941732021258943</v>
      </c>
      <c r="J4" s="10">
        <f t="shared" ca="1" si="0"/>
        <v>9.0151432551478319</v>
      </c>
      <c r="K4" s="10">
        <f t="shared" ca="1" si="0"/>
        <v>10.021782161390302</v>
      </c>
      <c r="L4" s="10">
        <f t="shared" ca="1" si="0"/>
        <v>11.789240541846871</v>
      </c>
      <c r="M4" s="10">
        <f t="shared" ca="1" si="0"/>
        <v>12.791100783857727</v>
      </c>
    </row>
    <row r="5" spans="1:13">
      <c r="A5" s="9" t="s">
        <v>203</v>
      </c>
      <c r="B5" s="10" t="s">
        <v>220</v>
      </c>
      <c r="C5" s="10" t="s">
        <v>221</v>
      </c>
      <c r="D5" s="10" t="s">
        <v>222</v>
      </c>
      <c r="E5" s="10" t="s">
        <v>223</v>
      </c>
      <c r="F5" s="10" t="s">
        <v>224</v>
      </c>
      <c r="G5" s="10" t="s">
        <v>225</v>
      </c>
      <c r="H5" s="10" t="s">
        <v>226</v>
      </c>
      <c r="I5" s="10" t="s">
        <v>227</v>
      </c>
      <c r="J5" s="10" t="s">
        <v>228</v>
      </c>
      <c r="K5" s="10" t="s">
        <v>229</v>
      </c>
      <c r="L5" s="10" t="s">
        <v>230</v>
      </c>
      <c r="M5" s="10" t="s">
        <v>231</v>
      </c>
    </row>
    <row r="6" spans="1:13">
      <c r="A6" s="9" t="s">
        <v>204</v>
      </c>
      <c r="B6" s="10">
        <f t="shared" ref="B6:M8" ca="1" si="1">B$1+RAND()</f>
        <v>1.0438540335226687</v>
      </c>
      <c r="C6" s="10">
        <f t="shared" ca="1" si="1"/>
        <v>2.6952944997719497</v>
      </c>
      <c r="D6" s="10">
        <f t="shared" ca="1" si="1"/>
        <v>3.5264970076847861</v>
      </c>
      <c r="E6" s="10">
        <f t="shared" ca="1" si="1"/>
        <v>4.4123058199675587</v>
      </c>
      <c r="F6" s="10">
        <f t="shared" ca="1" si="1"/>
        <v>5.6723718653351805</v>
      </c>
      <c r="G6" s="10">
        <f t="shared" ca="1" si="1"/>
        <v>6.8786952276295992</v>
      </c>
      <c r="H6" s="10">
        <f t="shared" ca="1" si="1"/>
        <v>7.2484456004107445</v>
      </c>
      <c r="I6" s="10">
        <f t="shared" ca="1" si="1"/>
        <v>8.4844904661704756</v>
      </c>
      <c r="J6" s="10">
        <f t="shared" ca="1" si="1"/>
        <v>9.9880617109121932</v>
      </c>
      <c r="K6" s="10">
        <f t="shared" ca="1" si="1"/>
        <v>10.395206222077817</v>
      </c>
      <c r="L6" s="10">
        <f t="shared" ca="1" si="1"/>
        <v>11.168748755928828</v>
      </c>
      <c r="M6" s="10">
        <f t="shared" ca="1" si="1"/>
        <v>12.995786148379564</v>
      </c>
    </row>
    <row r="7" spans="1:13">
      <c r="A7" s="9" t="s">
        <v>205</v>
      </c>
      <c r="B7" s="10">
        <f t="shared" ca="1" si="1"/>
        <v>1.416741502145572</v>
      </c>
      <c r="C7" s="10">
        <f t="shared" ca="1" si="1"/>
        <v>2.5811061020000245</v>
      </c>
      <c r="D7" s="10">
        <f t="shared" ca="1" si="1"/>
        <v>3.0283256915925656</v>
      </c>
      <c r="E7" s="10">
        <f t="shared" ca="1" si="1"/>
        <v>4.5647230320685512</v>
      </c>
      <c r="F7" s="10">
        <f t="shared" ca="1" si="1"/>
        <v>5.3105142222329134</v>
      </c>
      <c r="G7" s="10">
        <f t="shared" ca="1" si="1"/>
        <v>6.1335888101703322</v>
      </c>
      <c r="H7" s="10">
        <f t="shared" ca="1" si="1"/>
        <v>7.6016650265235626</v>
      </c>
      <c r="I7" s="10">
        <f t="shared" ca="1" si="1"/>
        <v>8.1893203759239626</v>
      </c>
      <c r="J7" s="10">
        <f t="shared" ca="1" si="1"/>
        <v>9.0083662772580606</v>
      </c>
      <c r="K7" s="10">
        <f t="shared" ca="1" si="1"/>
        <v>10.822650487686529</v>
      </c>
      <c r="L7" s="10">
        <f t="shared" ca="1" si="1"/>
        <v>11.2872441597886</v>
      </c>
      <c r="M7" s="10">
        <f t="shared" ca="1" si="1"/>
        <v>12.985323625722073</v>
      </c>
    </row>
    <row r="8" spans="1:13">
      <c r="A8" s="9" t="s">
        <v>206</v>
      </c>
      <c r="B8" s="10">
        <f t="shared" ca="1" si="1"/>
        <v>1.0985103859486935</v>
      </c>
      <c r="C8" s="10">
        <f t="shared" ca="1" si="1"/>
        <v>2.0904355602603024</v>
      </c>
      <c r="D8" s="10">
        <f t="shared" ca="1" si="1"/>
        <v>3.0682422929106905</v>
      </c>
      <c r="E8" s="10">
        <f t="shared" ca="1" si="1"/>
        <v>4.5518913441146465</v>
      </c>
      <c r="F8" s="10">
        <f t="shared" ca="1" si="1"/>
        <v>5.7556153373510437</v>
      </c>
      <c r="G8" s="10">
        <f t="shared" ca="1" si="1"/>
        <v>6.4126592095908128</v>
      </c>
      <c r="H8" s="10">
        <f t="shared" ca="1" si="1"/>
        <v>7.0994490584663161</v>
      </c>
      <c r="I8" s="10">
        <f t="shared" ca="1" si="1"/>
        <v>8.7630972540605576</v>
      </c>
      <c r="J8" s="10">
        <f t="shared" ca="1" si="1"/>
        <v>9.5713349525582583</v>
      </c>
      <c r="K8" s="10">
        <f t="shared" ca="1" si="1"/>
        <v>10.822946463922062</v>
      </c>
      <c r="L8" s="10">
        <f t="shared" ca="1" si="1"/>
        <v>11.966552672269628</v>
      </c>
      <c r="M8" s="10">
        <f t="shared" ca="1" si="1"/>
        <v>12.44377856895999</v>
      </c>
    </row>
    <row r="9" spans="1:13">
      <c r="A9" s="9" t="s">
        <v>207</v>
      </c>
      <c r="B9" s="10">
        <f t="shared" ref="B9:L9" ca="1" si="2">B$1+RAND()</f>
        <v>1.6162904598852057</v>
      </c>
      <c r="C9" s="10">
        <f t="shared" ca="1" si="2"/>
        <v>2.3785493062266667</v>
      </c>
      <c r="D9" s="10">
        <f t="shared" ca="1" si="2"/>
        <v>3.862283495357504</v>
      </c>
      <c r="E9" s="10">
        <f t="shared" ca="1" si="2"/>
        <v>4.0892434375611746</v>
      </c>
      <c r="F9" s="10">
        <f t="shared" ca="1" si="2"/>
        <v>5.598063893606156</v>
      </c>
      <c r="G9" s="10">
        <f t="shared" ca="1" si="2"/>
        <v>6.4164722175401083</v>
      </c>
      <c r="H9" s="10">
        <f t="shared" ca="1" si="2"/>
        <v>7.2685463537779427</v>
      </c>
      <c r="I9" s="10">
        <f t="shared" ca="1" si="2"/>
        <v>8.4313672681743714</v>
      </c>
      <c r="J9" s="10">
        <f t="shared" ca="1" si="2"/>
        <v>9.4919880301886721</v>
      </c>
      <c r="K9" s="10">
        <f t="shared" ca="1" si="2"/>
        <v>10.66844112367143</v>
      </c>
      <c r="L9" s="10">
        <f t="shared" ca="1" si="2"/>
        <v>11.826742356245823</v>
      </c>
      <c r="M9" s="10" t="s">
        <v>232</v>
      </c>
    </row>
  </sheetData>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9"/>
  <sheetViews>
    <sheetView workbookViewId="0"/>
  </sheetViews>
  <sheetFormatPr defaultRowHeight="14.4"/>
  <sheetData>
    <row r="1" spans="1:13">
      <c r="A1" s="11" t="s">
        <v>199</v>
      </c>
      <c r="B1" s="12">
        <v>1</v>
      </c>
      <c r="C1" s="13">
        <v>2</v>
      </c>
      <c r="D1" s="13">
        <v>3</v>
      </c>
      <c r="E1" s="13">
        <v>4</v>
      </c>
      <c r="F1" s="13">
        <v>5</v>
      </c>
      <c r="G1" s="13">
        <v>6</v>
      </c>
      <c r="H1" s="13">
        <v>7</v>
      </c>
      <c r="I1" s="13">
        <v>8</v>
      </c>
      <c r="J1" s="13">
        <v>9</v>
      </c>
      <c r="K1" s="13">
        <v>10</v>
      </c>
      <c r="L1" s="13">
        <v>11</v>
      </c>
      <c r="M1" s="14">
        <v>12</v>
      </c>
    </row>
    <row r="2" spans="1:13">
      <c r="A2" s="15" t="s">
        <v>200</v>
      </c>
      <c r="B2" s="16" t="s">
        <v>233</v>
      </c>
      <c r="C2" s="17" t="s">
        <v>234</v>
      </c>
      <c r="D2" s="17" t="s">
        <v>235</v>
      </c>
      <c r="E2" s="17" t="s">
        <v>236</v>
      </c>
      <c r="F2" s="17" t="s">
        <v>237</v>
      </c>
      <c r="G2" s="17" t="s">
        <v>238</v>
      </c>
      <c r="H2" s="17" t="s">
        <v>239</v>
      </c>
      <c r="I2" s="17" t="s">
        <v>240</v>
      </c>
      <c r="J2" s="17" t="s">
        <v>241</v>
      </c>
      <c r="K2" s="17" t="s">
        <v>242</v>
      </c>
      <c r="L2" s="17" t="s">
        <v>243</v>
      </c>
      <c r="M2" s="18" t="s">
        <v>244</v>
      </c>
    </row>
    <row r="3" spans="1:13">
      <c r="A3" s="19" t="s">
        <v>201</v>
      </c>
      <c r="B3" s="20" t="s">
        <v>233</v>
      </c>
      <c r="C3" s="10" t="s">
        <v>234</v>
      </c>
      <c r="D3" s="10" t="s">
        <v>235</v>
      </c>
      <c r="E3" s="10" t="s">
        <v>236</v>
      </c>
      <c r="F3" s="10" t="s">
        <v>237</v>
      </c>
      <c r="G3" s="10" t="s">
        <v>238</v>
      </c>
      <c r="H3" s="10" t="s">
        <v>239</v>
      </c>
      <c r="I3" s="10" t="s">
        <v>240</v>
      </c>
      <c r="J3" s="10" t="s">
        <v>241</v>
      </c>
      <c r="K3" s="10" t="s">
        <v>242</v>
      </c>
      <c r="L3" s="10" t="s">
        <v>243</v>
      </c>
      <c r="M3" s="21" t="s">
        <v>244</v>
      </c>
    </row>
    <row r="4" spans="1:13">
      <c r="A4" s="19" t="s">
        <v>202</v>
      </c>
      <c r="B4" s="20" t="s">
        <v>233</v>
      </c>
      <c r="C4" s="10" t="s">
        <v>234</v>
      </c>
      <c r="D4" s="10" t="s">
        <v>235</v>
      </c>
      <c r="E4" s="10" t="s">
        <v>236</v>
      </c>
      <c r="F4" s="10" t="s">
        <v>237</v>
      </c>
      <c r="G4" s="10" t="s">
        <v>238</v>
      </c>
      <c r="H4" s="10" t="s">
        <v>239</v>
      </c>
      <c r="I4" s="10" t="s">
        <v>240</v>
      </c>
      <c r="J4" s="10" t="s">
        <v>241</v>
      </c>
      <c r="K4" s="10" t="s">
        <v>242</v>
      </c>
      <c r="L4" s="10" t="s">
        <v>243</v>
      </c>
      <c r="M4" s="21" t="s">
        <v>244</v>
      </c>
    </row>
    <row r="5" spans="1:13">
      <c r="A5" s="19" t="s">
        <v>203</v>
      </c>
      <c r="B5" s="20" t="s">
        <v>233</v>
      </c>
      <c r="C5" s="10" t="s">
        <v>234</v>
      </c>
      <c r="D5" s="10" t="s">
        <v>235</v>
      </c>
      <c r="E5" s="10" t="s">
        <v>236</v>
      </c>
      <c r="F5" s="10" t="s">
        <v>237</v>
      </c>
      <c r="G5" s="10" t="s">
        <v>238</v>
      </c>
      <c r="H5" s="10" t="s">
        <v>239</v>
      </c>
      <c r="I5" s="10" t="s">
        <v>240</v>
      </c>
      <c r="J5" s="10" t="s">
        <v>241</v>
      </c>
      <c r="K5" s="10" t="s">
        <v>242</v>
      </c>
      <c r="L5" s="10" t="s">
        <v>243</v>
      </c>
      <c r="M5" s="21" t="s">
        <v>244</v>
      </c>
    </row>
    <row r="6" spans="1:13">
      <c r="A6" s="19" t="s">
        <v>204</v>
      </c>
      <c r="B6" s="20" t="s">
        <v>233</v>
      </c>
      <c r="C6" s="10" t="s">
        <v>234</v>
      </c>
      <c r="D6" s="10" t="s">
        <v>235</v>
      </c>
      <c r="E6" s="10" t="s">
        <v>236</v>
      </c>
      <c r="F6" s="10" t="s">
        <v>237</v>
      </c>
      <c r="G6" s="10" t="s">
        <v>238</v>
      </c>
      <c r="H6" s="10" t="s">
        <v>239</v>
      </c>
      <c r="I6" s="10" t="s">
        <v>240</v>
      </c>
      <c r="J6" s="10" t="s">
        <v>241</v>
      </c>
      <c r="K6" s="10" t="s">
        <v>242</v>
      </c>
      <c r="L6" s="10" t="s">
        <v>243</v>
      </c>
      <c r="M6" s="21" t="s">
        <v>244</v>
      </c>
    </row>
    <row r="7" spans="1:13">
      <c r="A7" s="19" t="s">
        <v>205</v>
      </c>
      <c r="B7" s="20" t="s">
        <v>233</v>
      </c>
      <c r="C7" s="10" t="s">
        <v>234</v>
      </c>
      <c r="D7" s="10" t="s">
        <v>235</v>
      </c>
      <c r="E7" s="10" t="s">
        <v>236</v>
      </c>
      <c r="F7" s="10" t="s">
        <v>237</v>
      </c>
      <c r="G7" s="10" t="s">
        <v>238</v>
      </c>
      <c r="H7" s="10" t="s">
        <v>239</v>
      </c>
      <c r="I7" s="10" t="s">
        <v>240</v>
      </c>
      <c r="J7" s="10" t="s">
        <v>241</v>
      </c>
      <c r="K7" s="10" t="s">
        <v>242</v>
      </c>
      <c r="L7" s="10" t="s">
        <v>243</v>
      </c>
      <c r="M7" s="21" t="s">
        <v>244</v>
      </c>
    </row>
    <row r="8" spans="1:13">
      <c r="A8" s="19" t="s">
        <v>206</v>
      </c>
      <c r="B8" s="20" t="s">
        <v>233</v>
      </c>
      <c r="C8" s="10" t="s">
        <v>234</v>
      </c>
      <c r="D8" s="10" t="s">
        <v>235</v>
      </c>
      <c r="E8" s="10" t="s">
        <v>236</v>
      </c>
      <c r="F8" s="10" t="s">
        <v>237</v>
      </c>
      <c r="G8" s="10" t="s">
        <v>238</v>
      </c>
      <c r="H8" s="10" t="s">
        <v>239</v>
      </c>
      <c r="I8" s="10" t="s">
        <v>240</v>
      </c>
      <c r="J8" s="10" t="s">
        <v>241</v>
      </c>
      <c r="K8" s="10" t="s">
        <v>242</v>
      </c>
      <c r="L8" s="10" t="s">
        <v>243</v>
      </c>
      <c r="M8" s="21" t="s">
        <v>244</v>
      </c>
    </row>
    <row r="9" spans="1:13">
      <c r="A9" s="22" t="s">
        <v>207</v>
      </c>
      <c r="B9" s="23" t="s">
        <v>233</v>
      </c>
      <c r="C9" s="24" t="s">
        <v>234</v>
      </c>
      <c r="D9" s="24" t="s">
        <v>235</v>
      </c>
      <c r="E9" s="24" t="s">
        <v>236</v>
      </c>
      <c r="F9" s="24" t="s">
        <v>237</v>
      </c>
      <c r="G9" s="24" t="s">
        <v>238</v>
      </c>
      <c r="H9" s="24" t="s">
        <v>239</v>
      </c>
      <c r="I9" s="24" t="s">
        <v>240</v>
      </c>
      <c r="J9" s="24" t="s">
        <v>241</v>
      </c>
      <c r="K9" s="24" t="s">
        <v>242</v>
      </c>
      <c r="L9" s="24" t="s">
        <v>243</v>
      </c>
      <c r="M9" s="25" t="s">
        <v>244</v>
      </c>
    </row>
  </sheetData>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97"/>
  <sheetViews>
    <sheetView workbookViewId="0"/>
  </sheetViews>
  <sheetFormatPr defaultRowHeight="14.4"/>
  <sheetData>
    <row r="1" spans="1:8">
      <c r="A1" s="26" t="s">
        <v>245</v>
      </c>
      <c r="D1" s="27" t="s">
        <v>246</v>
      </c>
      <c r="E1" s="28" t="s">
        <v>247</v>
      </c>
      <c r="F1" s="28" t="s">
        <v>248</v>
      </c>
      <c r="G1" s="28" t="s">
        <v>249</v>
      </c>
      <c r="H1" s="29" t="s">
        <v>250</v>
      </c>
    </row>
    <row r="2" spans="1:8">
      <c r="B2" s="30"/>
      <c r="D2" s="17" t="str">
        <f>INDEX(plate_readout!$A$2:$A$9, INT((ROW()-2)/(COLUMNS(plate_readout!$B$2:$M$9)))+1)</f>
        <v>A</v>
      </c>
      <c r="E2" s="17">
        <f>INDEX(plate_readout!$B$1:$M$1,MOD(ROW()-2,COLUMNS(plate_readout!$B$2:$M$9))+1)</f>
        <v>1</v>
      </c>
      <c r="F2" s="17" t="str">
        <f>INDEX(plate_readout!$B$2:$M$9, INT((ROW()-2)/COLUMNS(plate_readout!$B$2:$M$9))+1, MOD(ROW()-2, COLUMNS(plate_readout!$B$2:$M$9))+1)</f>
        <v>a1</v>
      </c>
      <c r="G2" s="17" t="str">
        <f>INDEX(plate_materials!$B$2:$M$9, INT((ROW()-2)/COLUMNS(plate_materials!$B$2:$M$9))+1, MOD(ROW()-2, COLUMNS(plate_materials!$B$2:$M$9))+1)</f>
        <v>M1</v>
      </c>
      <c r="H2" s="17">
        <f ca="1">INDEX(plate_metadata!$B$2:$M$9, INT((ROW()-2)/COLUMNS(plate_metadata!$B$2:$M$9))+1, MOD(ROW()-2, COLUMNS(plate_metadata!$B$2:$M$9))+1)</f>
        <v>1.0654855823928528</v>
      </c>
    </row>
    <row r="3" spans="1:8">
      <c r="D3" s="10" t="str">
        <f>INDEX(plate_readout!$A$2:$A$9, INT((ROW()-2)/(COLUMNS(plate_readout!$B$2:$M$9)))+1)</f>
        <v>A</v>
      </c>
      <c r="E3" s="10">
        <f>INDEX(plate_readout!$B$1:$M$1,MOD(ROW()-2,COLUMNS(plate_readout!$B$2:$M$9))+1)</f>
        <v>2</v>
      </c>
      <c r="F3" s="10" t="str">
        <f>INDEX(plate_readout!$B$2:$M$9, INT((ROW()-2)/COLUMNS(plate_readout!$B$2:$M$9))+1, MOD(ROW()-2, COLUMNS(plate_readout!$B$2:$M$9))+1)</f>
        <v>a2</v>
      </c>
      <c r="G3" s="10" t="str">
        <f>INDEX(plate_materials!$B$2:$M$9, INT((ROW()-2)/COLUMNS(plate_materials!$B$2:$M$9))+1, MOD(ROW()-2, COLUMNS(plate_materials!$B$2:$M$9))+1)</f>
        <v>M2</v>
      </c>
      <c r="H3" s="10">
        <f ca="1">INDEX(plate_metadata!$B$2:$M$9, INT((ROW()-2)/COLUMNS(plate_metadata!$B$2:$M$9))+1, MOD(ROW()-2, COLUMNS(plate_metadata!$B$2:$M$9))+1)</f>
        <v>2.0259036078965353</v>
      </c>
    </row>
    <row r="4" spans="1:8">
      <c r="D4" s="10" t="str">
        <f>INDEX(plate_readout!$A$2:$A$9, INT((ROW()-2)/(COLUMNS(plate_readout!$B$2:$M$9)))+1)</f>
        <v>A</v>
      </c>
      <c r="E4" s="10">
        <f>INDEX(plate_readout!$B$1:$M$1,MOD(ROW()-2,COLUMNS(plate_readout!$B$2:$M$9))+1)</f>
        <v>3</v>
      </c>
      <c r="F4" s="10" t="str">
        <f>INDEX(plate_readout!$B$2:$M$9, INT((ROW()-2)/COLUMNS(plate_readout!$B$2:$M$9))+1, MOD(ROW()-2, COLUMNS(plate_readout!$B$2:$M$9))+1)</f>
        <v>a3</v>
      </c>
      <c r="G4" s="10" t="str">
        <f>INDEX(plate_materials!$B$2:$M$9, INT((ROW()-2)/COLUMNS(plate_materials!$B$2:$M$9))+1, MOD(ROW()-2, COLUMNS(plate_materials!$B$2:$M$9))+1)</f>
        <v>M3</v>
      </c>
      <c r="H4" s="10">
        <f ca="1">INDEX(plate_metadata!$B$2:$M$9, INT((ROW()-2)/COLUMNS(plate_metadata!$B$2:$M$9))+1, MOD(ROW()-2, COLUMNS(plate_metadata!$B$2:$M$9))+1)</f>
        <v>3.8898983953942881</v>
      </c>
    </row>
    <row r="5" spans="1:8">
      <c r="D5" s="10" t="str">
        <f>INDEX(plate_readout!$A$2:$A$9, INT((ROW()-2)/(COLUMNS(plate_readout!$B$2:$M$9)))+1)</f>
        <v>A</v>
      </c>
      <c r="E5" s="10">
        <f>INDEX(plate_readout!$B$1:$M$1,MOD(ROW()-2,COLUMNS(plate_readout!$B$2:$M$9))+1)</f>
        <v>4</v>
      </c>
      <c r="F5" s="10" t="str">
        <f>INDEX(plate_readout!$B$2:$M$9, INT((ROW()-2)/COLUMNS(plate_readout!$B$2:$M$9))+1, MOD(ROW()-2, COLUMNS(plate_readout!$B$2:$M$9))+1)</f>
        <v>a4</v>
      </c>
      <c r="G5" s="10" t="str">
        <f>INDEX(plate_materials!$B$2:$M$9, INT((ROW()-2)/COLUMNS(plate_materials!$B$2:$M$9))+1, MOD(ROW()-2, COLUMNS(plate_materials!$B$2:$M$9))+1)</f>
        <v>M4</v>
      </c>
      <c r="H5" s="10">
        <f ca="1">INDEX(plate_metadata!$B$2:$M$9, INT((ROW()-2)/COLUMNS(plate_metadata!$B$2:$M$9))+1, MOD(ROW()-2, COLUMNS(plate_metadata!$B$2:$M$9))+1)</f>
        <v>4.8897774743527149</v>
      </c>
    </row>
    <row r="6" spans="1:8">
      <c r="D6" s="10" t="str">
        <f>INDEX(plate_readout!$A$2:$A$9, INT((ROW()-2)/(COLUMNS(plate_readout!$B$2:$M$9)))+1)</f>
        <v>A</v>
      </c>
      <c r="E6" s="10">
        <f>INDEX(plate_readout!$B$1:$M$1,MOD(ROW()-2,COLUMNS(plate_readout!$B$2:$M$9))+1)</f>
        <v>5</v>
      </c>
      <c r="F6" s="10" t="str">
        <f>INDEX(plate_readout!$B$2:$M$9, INT((ROW()-2)/COLUMNS(plate_readout!$B$2:$M$9))+1, MOD(ROW()-2, COLUMNS(plate_readout!$B$2:$M$9))+1)</f>
        <v>a5</v>
      </c>
      <c r="G6" s="10" t="str">
        <f>INDEX(plate_materials!$B$2:$M$9, INT((ROW()-2)/COLUMNS(plate_materials!$B$2:$M$9))+1, MOD(ROW()-2, COLUMNS(plate_materials!$B$2:$M$9))+1)</f>
        <v>M5</v>
      </c>
      <c r="H6" s="10">
        <f ca="1">INDEX(plate_metadata!$B$2:$M$9, INT((ROW()-2)/COLUMNS(plate_metadata!$B$2:$M$9))+1, MOD(ROW()-2, COLUMNS(plate_metadata!$B$2:$M$9))+1)</f>
        <v>5.3704814589654184</v>
      </c>
    </row>
    <row r="7" spans="1:8">
      <c r="D7" s="10" t="str">
        <f>INDEX(plate_readout!$A$2:$A$9, INT((ROW()-2)/(COLUMNS(plate_readout!$B$2:$M$9)))+1)</f>
        <v>A</v>
      </c>
      <c r="E7" s="10">
        <f>INDEX(plate_readout!$B$1:$M$1,MOD(ROW()-2,COLUMNS(plate_readout!$B$2:$M$9))+1)</f>
        <v>6</v>
      </c>
      <c r="F7" s="10" t="str">
        <f>INDEX(plate_readout!$B$2:$M$9, INT((ROW()-2)/COLUMNS(plate_readout!$B$2:$M$9))+1, MOD(ROW()-2, COLUMNS(plate_readout!$B$2:$M$9))+1)</f>
        <v>a6</v>
      </c>
      <c r="G7" s="10" t="str">
        <f>INDEX(plate_materials!$B$2:$M$9, INT((ROW()-2)/COLUMNS(plate_materials!$B$2:$M$9))+1, MOD(ROW()-2, COLUMNS(plate_materials!$B$2:$M$9))+1)</f>
        <v>M6</v>
      </c>
      <c r="H7" s="10">
        <f ca="1">INDEX(plate_metadata!$B$2:$M$9, INT((ROW()-2)/COLUMNS(plate_metadata!$B$2:$M$9))+1, MOD(ROW()-2, COLUMNS(plate_metadata!$B$2:$M$9))+1)</f>
        <v>6.1453968928694644</v>
      </c>
    </row>
    <row r="8" spans="1:8">
      <c r="D8" s="10" t="str">
        <f>INDEX(plate_readout!$A$2:$A$9, INT((ROW()-2)/(COLUMNS(plate_readout!$B$2:$M$9)))+1)</f>
        <v>A</v>
      </c>
      <c r="E8" s="10">
        <f>INDEX(plate_readout!$B$1:$M$1,MOD(ROW()-2,COLUMNS(plate_readout!$B$2:$M$9))+1)</f>
        <v>7</v>
      </c>
      <c r="F8" s="10" t="str">
        <f>INDEX(plate_readout!$B$2:$M$9, INT((ROW()-2)/COLUMNS(plate_readout!$B$2:$M$9))+1, MOD(ROW()-2, COLUMNS(plate_readout!$B$2:$M$9))+1)</f>
        <v>a7</v>
      </c>
      <c r="G8" s="10" t="str">
        <f>INDEX(plate_materials!$B$2:$M$9, INT((ROW()-2)/COLUMNS(plate_materials!$B$2:$M$9))+1, MOD(ROW()-2, COLUMNS(plate_materials!$B$2:$M$9))+1)</f>
        <v>M7</v>
      </c>
      <c r="H8" s="10">
        <f ca="1">INDEX(plate_metadata!$B$2:$M$9, INT((ROW()-2)/COLUMNS(plate_metadata!$B$2:$M$9))+1, MOD(ROW()-2, COLUMNS(plate_metadata!$B$2:$M$9))+1)</f>
        <v>7.2185794852504426</v>
      </c>
    </row>
    <row r="9" spans="1:8">
      <c r="D9" s="10" t="str">
        <f>INDEX(plate_readout!$A$2:$A$9, INT((ROW()-2)/(COLUMNS(plate_readout!$B$2:$M$9)))+1)</f>
        <v>A</v>
      </c>
      <c r="E9" s="10">
        <f>INDEX(plate_readout!$B$1:$M$1,MOD(ROW()-2,COLUMNS(plate_readout!$B$2:$M$9))+1)</f>
        <v>8</v>
      </c>
      <c r="F9" s="10" t="str">
        <f>INDEX(plate_readout!$B$2:$M$9, INT((ROW()-2)/COLUMNS(plate_readout!$B$2:$M$9))+1, MOD(ROW()-2, COLUMNS(plate_readout!$B$2:$M$9))+1)</f>
        <v>a8</v>
      </c>
      <c r="G9" s="10" t="str">
        <f>INDEX(plate_materials!$B$2:$M$9, INT((ROW()-2)/COLUMNS(plate_materials!$B$2:$M$9))+1, MOD(ROW()-2, COLUMNS(plate_materials!$B$2:$M$9))+1)</f>
        <v>M8</v>
      </c>
      <c r="H9" s="10">
        <f ca="1">INDEX(plate_metadata!$B$2:$M$9, INT((ROW()-2)/COLUMNS(plate_metadata!$B$2:$M$9))+1, MOD(ROW()-2, COLUMNS(plate_metadata!$B$2:$M$9))+1)</f>
        <v>8.3929060791118619</v>
      </c>
    </row>
    <row r="10" spans="1:8">
      <c r="D10" s="10" t="str">
        <f>INDEX(plate_readout!$A$2:$A$9, INT((ROW()-2)/(COLUMNS(plate_readout!$B$2:$M$9)))+1)</f>
        <v>A</v>
      </c>
      <c r="E10" s="10">
        <f>INDEX(plate_readout!$B$1:$M$1,MOD(ROW()-2,COLUMNS(plate_readout!$B$2:$M$9))+1)</f>
        <v>9</v>
      </c>
      <c r="F10" s="10" t="str">
        <f>INDEX(plate_readout!$B$2:$M$9, INT((ROW()-2)/COLUMNS(plate_readout!$B$2:$M$9))+1, MOD(ROW()-2, COLUMNS(plate_readout!$B$2:$M$9))+1)</f>
        <v>a9</v>
      </c>
      <c r="G10" s="10" t="str">
        <f>INDEX(plate_materials!$B$2:$M$9, INT((ROW()-2)/COLUMNS(plate_materials!$B$2:$M$9))+1, MOD(ROW()-2, COLUMNS(plate_materials!$B$2:$M$9))+1)</f>
        <v>M9</v>
      </c>
      <c r="H10" s="10">
        <f ca="1">INDEX(plate_metadata!$B$2:$M$9, INT((ROW()-2)/COLUMNS(plate_metadata!$B$2:$M$9))+1, MOD(ROW()-2, COLUMNS(plate_metadata!$B$2:$M$9))+1)</f>
        <v>9.9078860174563221</v>
      </c>
    </row>
    <row r="11" spans="1:8">
      <c r="D11" s="10" t="str">
        <f>INDEX(plate_readout!$A$2:$A$9, INT((ROW()-2)/(COLUMNS(plate_readout!$B$2:$M$9)))+1)</f>
        <v>A</v>
      </c>
      <c r="E11" s="10">
        <f>INDEX(plate_readout!$B$1:$M$1,MOD(ROW()-2,COLUMNS(plate_readout!$B$2:$M$9))+1)</f>
        <v>10</v>
      </c>
      <c r="F11" s="10" t="str">
        <f>INDEX(plate_readout!$B$2:$M$9, INT((ROW()-2)/COLUMNS(plate_readout!$B$2:$M$9))+1, MOD(ROW()-2, COLUMNS(plate_readout!$B$2:$M$9))+1)</f>
        <v>a10</v>
      </c>
      <c r="G11" s="10" t="str">
        <f>INDEX(plate_materials!$B$2:$M$9, INT((ROW()-2)/COLUMNS(plate_materials!$B$2:$M$9))+1, MOD(ROW()-2, COLUMNS(plate_materials!$B$2:$M$9))+1)</f>
        <v>M10</v>
      </c>
      <c r="H11" s="10">
        <f ca="1">INDEX(plate_metadata!$B$2:$M$9, INT((ROW()-2)/COLUMNS(plate_metadata!$B$2:$M$9))+1, MOD(ROW()-2, COLUMNS(plate_metadata!$B$2:$M$9))+1)</f>
        <v>10.059151583631042</v>
      </c>
    </row>
    <row r="12" spans="1:8">
      <c r="D12" s="10" t="str">
        <f>INDEX(plate_readout!$A$2:$A$9, INT((ROW()-2)/(COLUMNS(plate_readout!$B$2:$M$9)))+1)</f>
        <v>A</v>
      </c>
      <c r="E12" s="10">
        <f>INDEX(plate_readout!$B$1:$M$1,MOD(ROW()-2,COLUMNS(plate_readout!$B$2:$M$9))+1)</f>
        <v>11</v>
      </c>
      <c r="F12" s="10" t="str">
        <f>INDEX(plate_readout!$B$2:$M$9, INT((ROW()-2)/COLUMNS(plate_readout!$B$2:$M$9))+1, MOD(ROW()-2, COLUMNS(plate_readout!$B$2:$M$9))+1)</f>
        <v>a11</v>
      </c>
      <c r="G12" s="10" t="str">
        <f>INDEX(plate_materials!$B$2:$M$9, INT((ROW()-2)/COLUMNS(plate_materials!$B$2:$M$9))+1, MOD(ROW()-2, COLUMNS(plate_materials!$B$2:$M$9))+1)</f>
        <v>M11</v>
      </c>
      <c r="H12" s="10">
        <f ca="1">INDEX(plate_metadata!$B$2:$M$9, INT((ROW()-2)/COLUMNS(plate_metadata!$B$2:$M$9))+1, MOD(ROW()-2, COLUMNS(plate_metadata!$B$2:$M$9))+1)</f>
        <v>11.129127582911794</v>
      </c>
    </row>
    <row r="13" spans="1:8">
      <c r="D13" s="10" t="str">
        <f>INDEX(plate_readout!$A$2:$A$9, INT((ROW()-2)/(COLUMNS(plate_readout!$B$2:$M$9)))+1)</f>
        <v>A</v>
      </c>
      <c r="E13" s="10">
        <f>INDEX(plate_readout!$B$1:$M$1,MOD(ROW()-2,COLUMNS(plate_readout!$B$2:$M$9))+1)</f>
        <v>12</v>
      </c>
      <c r="F13" s="10" t="str">
        <f>INDEX(plate_readout!$B$2:$M$9, INT((ROW()-2)/COLUMNS(plate_readout!$B$2:$M$9))+1, MOD(ROW()-2, COLUMNS(plate_readout!$B$2:$M$9))+1)</f>
        <v>a12</v>
      </c>
      <c r="G13" s="10" t="str">
        <f>INDEX(plate_materials!$B$2:$M$9, INT((ROW()-2)/COLUMNS(plate_materials!$B$2:$M$9))+1, MOD(ROW()-2, COLUMNS(plate_materials!$B$2:$M$9))+1)</f>
        <v>M12</v>
      </c>
      <c r="H13" s="10">
        <f ca="1">INDEX(plate_metadata!$B$2:$M$9, INT((ROW()-2)/COLUMNS(plate_metadata!$B$2:$M$9))+1, MOD(ROW()-2, COLUMNS(plate_metadata!$B$2:$M$9))+1)</f>
        <v>12.30053228711248</v>
      </c>
    </row>
    <row r="14" spans="1:8">
      <c r="D14" s="10" t="str">
        <f>INDEX(plate_readout!$A$2:$A$9, INT((ROW()-2)/(COLUMNS(plate_readout!$B$2:$M$9)))+1)</f>
        <v>B</v>
      </c>
      <c r="E14" s="10">
        <f>INDEX(plate_readout!$B$1:$M$1,MOD(ROW()-2,COLUMNS(plate_readout!$B$2:$M$9))+1)</f>
        <v>1</v>
      </c>
      <c r="F14" s="10">
        <f ca="1">INDEX(plate_readout!$B$2:$M$9, INT((ROW()-2)/COLUMNS(plate_readout!$B$2:$M$9))+1, MOD(ROW()-2, COLUMNS(plate_readout!$B$2:$M$9))+1)</f>
        <v>1.6678100733712014</v>
      </c>
      <c r="G14" s="10" t="str">
        <f>INDEX(plate_materials!$B$2:$M$9, INT((ROW()-2)/COLUMNS(plate_materials!$B$2:$M$9))+1, MOD(ROW()-2, COLUMNS(plate_materials!$B$2:$M$9))+1)</f>
        <v>M1</v>
      </c>
      <c r="H14" s="10">
        <f ca="1">INDEX(plate_metadata!$B$2:$M$9, INT((ROW()-2)/COLUMNS(plate_metadata!$B$2:$M$9))+1, MOD(ROW()-2, COLUMNS(plate_metadata!$B$2:$M$9))+1)</f>
        <v>1.5495356538214606</v>
      </c>
    </row>
    <row r="15" spans="1:8">
      <c r="D15" s="10" t="str">
        <f>INDEX(plate_readout!$A$2:$A$9, INT((ROW()-2)/(COLUMNS(plate_readout!$B$2:$M$9)))+1)</f>
        <v>B</v>
      </c>
      <c r="E15" s="10">
        <f>INDEX(plate_readout!$B$1:$M$1,MOD(ROW()-2,COLUMNS(plate_readout!$B$2:$M$9))+1)</f>
        <v>2</v>
      </c>
      <c r="F15" s="10">
        <f ca="1">INDEX(plate_readout!$B$2:$M$9, INT((ROW()-2)/COLUMNS(plate_readout!$B$2:$M$9))+1, MOD(ROW()-2, COLUMNS(plate_readout!$B$2:$M$9))+1)</f>
        <v>2.2872568146951613</v>
      </c>
      <c r="G15" s="10" t="str">
        <f>INDEX(plate_materials!$B$2:$M$9, INT((ROW()-2)/COLUMNS(plate_materials!$B$2:$M$9))+1, MOD(ROW()-2, COLUMNS(plate_materials!$B$2:$M$9))+1)</f>
        <v>M2</v>
      </c>
      <c r="H15" s="10">
        <f ca="1">INDEX(plate_metadata!$B$2:$M$9, INT((ROW()-2)/COLUMNS(plate_metadata!$B$2:$M$9))+1, MOD(ROW()-2, COLUMNS(plate_metadata!$B$2:$M$9))+1)</f>
        <v>2.1205710865992535</v>
      </c>
    </row>
    <row r="16" spans="1:8">
      <c r="D16" s="10" t="str">
        <f>INDEX(plate_readout!$A$2:$A$9, INT((ROW()-2)/(COLUMNS(plate_readout!$B$2:$M$9)))+1)</f>
        <v>B</v>
      </c>
      <c r="E16" s="10">
        <f>INDEX(plate_readout!$B$1:$M$1,MOD(ROW()-2,COLUMNS(plate_readout!$B$2:$M$9))+1)</f>
        <v>3</v>
      </c>
      <c r="F16" s="10">
        <f ca="1">INDEX(plate_readout!$B$2:$M$9, INT((ROW()-2)/COLUMNS(plate_readout!$B$2:$M$9))+1, MOD(ROW()-2, COLUMNS(plate_readout!$B$2:$M$9))+1)</f>
        <v>3.2491018944114618</v>
      </c>
      <c r="G16" s="10" t="str">
        <f>INDEX(plate_materials!$B$2:$M$9, INT((ROW()-2)/COLUMNS(plate_materials!$B$2:$M$9))+1, MOD(ROW()-2, COLUMNS(plate_materials!$B$2:$M$9))+1)</f>
        <v>M3</v>
      </c>
      <c r="H16" s="10">
        <f ca="1">INDEX(plate_metadata!$B$2:$M$9, INT((ROW()-2)/COLUMNS(plate_metadata!$B$2:$M$9))+1, MOD(ROW()-2, COLUMNS(plate_metadata!$B$2:$M$9))+1)</f>
        <v>3.6412025528280214</v>
      </c>
    </row>
    <row r="17" spans="4:8">
      <c r="D17" s="10" t="str">
        <f>INDEX(plate_readout!$A$2:$A$9, INT((ROW()-2)/(COLUMNS(plate_readout!$B$2:$M$9)))+1)</f>
        <v>B</v>
      </c>
      <c r="E17" s="10">
        <f>INDEX(plate_readout!$B$1:$M$1,MOD(ROW()-2,COLUMNS(plate_readout!$B$2:$M$9))+1)</f>
        <v>4</v>
      </c>
      <c r="F17" s="10">
        <f ca="1">INDEX(plate_readout!$B$2:$M$9, INT((ROW()-2)/COLUMNS(plate_readout!$B$2:$M$9))+1, MOD(ROW()-2, COLUMNS(plate_readout!$B$2:$M$9))+1)</f>
        <v>4.1890876275786528</v>
      </c>
      <c r="G17" s="10" t="str">
        <f>INDEX(plate_materials!$B$2:$M$9, INT((ROW()-2)/COLUMNS(plate_materials!$B$2:$M$9))+1, MOD(ROW()-2, COLUMNS(plate_materials!$B$2:$M$9))+1)</f>
        <v>M4</v>
      </c>
      <c r="H17" s="10">
        <f ca="1">INDEX(plate_metadata!$B$2:$M$9, INT((ROW()-2)/COLUMNS(plate_metadata!$B$2:$M$9))+1, MOD(ROW()-2, COLUMNS(plate_metadata!$B$2:$M$9))+1)</f>
        <v>4.4622762501034874</v>
      </c>
    </row>
    <row r="18" spans="4:8">
      <c r="D18" s="10" t="str">
        <f>INDEX(plate_readout!$A$2:$A$9, INT((ROW()-2)/(COLUMNS(plate_readout!$B$2:$M$9)))+1)</f>
        <v>B</v>
      </c>
      <c r="E18" s="10">
        <f>INDEX(plate_readout!$B$1:$M$1,MOD(ROW()-2,COLUMNS(plate_readout!$B$2:$M$9))+1)</f>
        <v>5</v>
      </c>
      <c r="F18" s="10">
        <f ca="1">INDEX(plate_readout!$B$2:$M$9, INT((ROW()-2)/COLUMNS(plate_readout!$B$2:$M$9))+1, MOD(ROW()-2, COLUMNS(plate_readout!$B$2:$M$9))+1)</f>
        <v>5.351255067392696</v>
      </c>
      <c r="G18" s="10" t="str">
        <f>INDEX(plate_materials!$B$2:$M$9, INT((ROW()-2)/COLUMNS(plate_materials!$B$2:$M$9))+1, MOD(ROW()-2, COLUMNS(plate_materials!$B$2:$M$9))+1)</f>
        <v>M5</v>
      </c>
      <c r="H18" s="10">
        <f ca="1">INDEX(plate_metadata!$B$2:$M$9, INT((ROW()-2)/COLUMNS(plate_metadata!$B$2:$M$9))+1, MOD(ROW()-2, COLUMNS(plate_metadata!$B$2:$M$9))+1)</f>
        <v>5.3861818132888679</v>
      </c>
    </row>
    <row r="19" spans="4:8">
      <c r="D19" s="10" t="str">
        <f>INDEX(plate_readout!$A$2:$A$9, INT((ROW()-2)/(COLUMNS(plate_readout!$B$2:$M$9)))+1)</f>
        <v>B</v>
      </c>
      <c r="E19" s="10">
        <f>INDEX(plate_readout!$B$1:$M$1,MOD(ROW()-2,COLUMNS(plate_readout!$B$2:$M$9))+1)</f>
        <v>6</v>
      </c>
      <c r="F19" s="10">
        <f ca="1">INDEX(plate_readout!$B$2:$M$9, INT((ROW()-2)/COLUMNS(plate_readout!$B$2:$M$9))+1, MOD(ROW()-2, COLUMNS(plate_readout!$B$2:$M$9))+1)</f>
        <v>6.2147719189046775</v>
      </c>
      <c r="G19" s="10" t="str">
        <f>INDEX(plate_materials!$B$2:$M$9, INT((ROW()-2)/COLUMNS(plate_materials!$B$2:$M$9))+1, MOD(ROW()-2, COLUMNS(plate_materials!$B$2:$M$9))+1)</f>
        <v>M6</v>
      </c>
      <c r="H19" s="10">
        <f ca="1">INDEX(plate_metadata!$B$2:$M$9, INT((ROW()-2)/COLUMNS(plate_metadata!$B$2:$M$9))+1, MOD(ROW()-2, COLUMNS(plate_metadata!$B$2:$M$9))+1)</f>
        <v>6.2263504634695055</v>
      </c>
    </row>
    <row r="20" spans="4:8">
      <c r="D20" s="10" t="str">
        <f>INDEX(plate_readout!$A$2:$A$9, INT((ROW()-2)/(COLUMNS(plate_readout!$B$2:$M$9)))+1)</f>
        <v>B</v>
      </c>
      <c r="E20" s="10">
        <f>INDEX(plate_readout!$B$1:$M$1,MOD(ROW()-2,COLUMNS(plate_readout!$B$2:$M$9))+1)</f>
        <v>7</v>
      </c>
      <c r="F20" s="10">
        <f ca="1">INDEX(plate_readout!$B$2:$M$9, INT((ROW()-2)/COLUMNS(plate_readout!$B$2:$M$9))+1, MOD(ROW()-2, COLUMNS(plate_readout!$B$2:$M$9))+1)</f>
        <v>7.3298357917360253</v>
      </c>
      <c r="G20" s="10" t="str">
        <f>INDEX(plate_materials!$B$2:$M$9, INT((ROW()-2)/COLUMNS(plate_materials!$B$2:$M$9))+1, MOD(ROW()-2, COLUMNS(plate_materials!$B$2:$M$9))+1)</f>
        <v>M7</v>
      </c>
      <c r="H20" s="10">
        <f ca="1">INDEX(plate_metadata!$B$2:$M$9, INT((ROW()-2)/COLUMNS(plate_metadata!$B$2:$M$9))+1, MOD(ROW()-2, COLUMNS(plate_metadata!$B$2:$M$9))+1)</f>
        <v>7.1138627095320226</v>
      </c>
    </row>
    <row r="21" spans="4:8">
      <c r="D21" s="10" t="str">
        <f>INDEX(plate_readout!$A$2:$A$9, INT((ROW()-2)/(COLUMNS(plate_readout!$B$2:$M$9)))+1)</f>
        <v>B</v>
      </c>
      <c r="E21" s="10">
        <f>INDEX(plate_readout!$B$1:$M$1,MOD(ROW()-2,COLUMNS(plate_readout!$B$2:$M$9))+1)</f>
        <v>8</v>
      </c>
      <c r="F21" s="10">
        <f ca="1">INDEX(plate_readout!$B$2:$M$9, INT((ROW()-2)/COLUMNS(plate_readout!$B$2:$M$9))+1, MOD(ROW()-2, COLUMNS(plate_readout!$B$2:$M$9))+1)</f>
        <v>8.9357966548549115</v>
      </c>
      <c r="G21" s="10" t="str">
        <f>INDEX(plate_materials!$B$2:$M$9, INT((ROW()-2)/COLUMNS(plate_materials!$B$2:$M$9))+1, MOD(ROW()-2, COLUMNS(plate_materials!$B$2:$M$9))+1)</f>
        <v>M8</v>
      </c>
      <c r="H21" s="10">
        <f ca="1">INDEX(plate_metadata!$B$2:$M$9, INT((ROW()-2)/COLUMNS(plate_metadata!$B$2:$M$9))+1, MOD(ROW()-2, COLUMNS(plate_metadata!$B$2:$M$9))+1)</f>
        <v>8.226886222470176</v>
      </c>
    </row>
    <row r="22" spans="4:8">
      <c r="D22" s="10" t="str">
        <f>INDEX(plate_readout!$A$2:$A$9, INT((ROW()-2)/(COLUMNS(plate_readout!$B$2:$M$9)))+1)</f>
        <v>B</v>
      </c>
      <c r="E22" s="10">
        <f>INDEX(plate_readout!$B$1:$M$1,MOD(ROW()-2,COLUMNS(plate_readout!$B$2:$M$9))+1)</f>
        <v>9</v>
      </c>
      <c r="F22" s="10">
        <f ca="1">INDEX(plate_readout!$B$2:$M$9, INT((ROW()-2)/COLUMNS(plate_readout!$B$2:$M$9))+1, MOD(ROW()-2, COLUMNS(plate_readout!$B$2:$M$9))+1)</f>
        <v>9.9140813122138702</v>
      </c>
      <c r="G22" s="10" t="str">
        <f>INDEX(plate_materials!$B$2:$M$9, INT((ROW()-2)/COLUMNS(plate_materials!$B$2:$M$9))+1, MOD(ROW()-2, COLUMNS(plate_materials!$B$2:$M$9))+1)</f>
        <v>M9</v>
      </c>
      <c r="H22" s="10">
        <f ca="1">INDEX(plate_metadata!$B$2:$M$9, INT((ROW()-2)/COLUMNS(plate_metadata!$B$2:$M$9))+1, MOD(ROW()-2, COLUMNS(plate_metadata!$B$2:$M$9))+1)</f>
        <v>9.2109893473642508</v>
      </c>
    </row>
    <row r="23" spans="4:8">
      <c r="D23" s="10" t="str">
        <f>INDEX(plate_readout!$A$2:$A$9, INT((ROW()-2)/(COLUMNS(plate_readout!$B$2:$M$9)))+1)</f>
        <v>B</v>
      </c>
      <c r="E23" s="10">
        <f>INDEX(plate_readout!$B$1:$M$1,MOD(ROW()-2,COLUMNS(plate_readout!$B$2:$M$9))+1)</f>
        <v>10</v>
      </c>
      <c r="F23" s="10">
        <f ca="1">INDEX(plate_readout!$B$2:$M$9, INT((ROW()-2)/COLUMNS(plate_readout!$B$2:$M$9))+1, MOD(ROW()-2, COLUMNS(plate_readout!$B$2:$M$9))+1)</f>
        <v>10.560795491187267</v>
      </c>
      <c r="G23" s="10" t="str">
        <f>INDEX(plate_materials!$B$2:$M$9, INT((ROW()-2)/COLUMNS(plate_materials!$B$2:$M$9))+1, MOD(ROW()-2, COLUMNS(plate_materials!$B$2:$M$9))+1)</f>
        <v>M10</v>
      </c>
      <c r="H23" s="10">
        <f ca="1">INDEX(plate_metadata!$B$2:$M$9, INT((ROW()-2)/COLUMNS(plate_metadata!$B$2:$M$9))+1, MOD(ROW()-2, COLUMNS(plate_metadata!$B$2:$M$9))+1)</f>
        <v>10.165995367550863</v>
      </c>
    </row>
    <row r="24" spans="4:8">
      <c r="D24" s="10" t="str">
        <f>INDEX(plate_readout!$A$2:$A$9, INT((ROW()-2)/(COLUMNS(plate_readout!$B$2:$M$9)))+1)</f>
        <v>B</v>
      </c>
      <c r="E24" s="10">
        <f>INDEX(plate_readout!$B$1:$M$1,MOD(ROW()-2,COLUMNS(plate_readout!$B$2:$M$9))+1)</f>
        <v>11</v>
      </c>
      <c r="F24" s="10">
        <f ca="1">INDEX(plate_readout!$B$2:$M$9, INT((ROW()-2)/COLUMNS(plate_readout!$B$2:$M$9))+1, MOD(ROW()-2, COLUMNS(plate_readout!$B$2:$M$9))+1)</f>
        <v>11.583576333181069</v>
      </c>
      <c r="G24" s="10" t="str">
        <f>INDEX(plate_materials!$B$2:$M$9, INT((ROW()-2)/COLUMNS(plate_materials!$B$2:$M$9))+1, MOD(ROW()-2, COLUMNS(plate_materials!$B$2:$M$9))+1)</f>
        <v>M11</v>
      </c>
      <c r="H24" s="10">
        <f ca="1">INDEX(plate_metadata!$B$2:$M$9, INT((ROW()-2)/COLUMNS(plate_metadata!$B$2:$M$9))+1, MOD(ROW()-2, COLUMNS(plate_metadata!$B$2:$M$9))+1)</f>
        <v>11.749806255617527</v>
      </c>
    </row>
    <row r="25" spans="4:8">
      <c r="D25" s="10" t="str">
        <f>INDEX(plate_readout!$A$2:$A$9, INT((ROW()-2)/(COLUMNS(plate_readout!$B$2:$M$9)))+1)</f>
        <v>B</v>
      </c>
      <c r="E25" s="10">
        <f>INDEX(plate_readout!$B$1:$M$1,MOD(ROW()-2,COLUMNS(plate_readout!$B$2:$M$9))+1)</f>
        <v>12</v>
      </c>
      <c r="F25" s="10">
        <f ca="1">INDEX(plate_readout!$B$2:$M$9, INT((ROW()-2)/COLUMNS(plate_readout!$B$2:$M$9))+1, MOD(ROW()-2, COLUMNS(plate_readout!$B$2:$M$9))+1)</f>
        <v>12.570899916282928</v>
      </c>
      <c r="G25" s="10" t="str">
        <f>INDEX(plate_materials!$B$2:$M$9, INT((ROW()-2)/COLUMNS(plate_materials!$B$2:$M$9))+1, MOD(ROW()-2, COLUMNS(plate_materials!$B$2:$M$9))+1)</f>
        <v>M12</v>
      </c>
      <c r="H25" s="10">
        <f ca="1">INDEX(plate_metadata!$B$2:$M$9, INT((ROW()-2)/COLUMNS(plate_metadata!$B$2:$M$9))+1, MOD(ROW()-2, COLUMNS(plate_metadata!$B$2:$M$9))+1)</f>
        <v>12.140486684965079</v>
      </c>
    </row>
    <row r="26" spans="4:8">
      <c r="D26" s="10" t="str">
        <f>INDEX(plate_readout!$A$2:$A$9, INT((ROW()-2)/(COLUMNS(plate_readout!$B$2:$M$9)))+1)</f>
        <v>C</v>
      </c>
      <c r="E26" s="10">
        <f>INDEX(plate_readout!$B$1:$M$1,MOD(ROW()-2,COLUMNS(plate_readout!$B$2:$M$9))+1)</f>
        <v>1</v>
      </c>
      <c r="F26" s="10">
        <f ca="1">INDEX(plate_readout!$B$2:$M$9, INT((ROW()-2)/COLUMNS(plate_readout!$B$2:$M$9))+1, MOD(ROW()-2, COLUMNS(plate_readout!$B$2:$M$9))+1)</f>
        <v>1.830561931168915</v>
      </c>
      <c r="G26" s="10" t="str">
        <f>INDEX(plate_materials!$B$2:$M$9, INT((ROW()-2)/COLUMNS(plate_materials!$B$2:$M$9))+1, MOD(ROW()-2, COLUMNS(plate_materials!$B$2:$M$9))+1)</f>
        <v>M1</v>
      </c>
      <c r="H26" s="10">
        <f ca="1">INDEX(plate_metadata!$B$2:$M$9, INT((ROW()-2)/COLUMNS(plate_metadata!$B$2:$M$9))+1, MOD(ROW()-2, COLUMNS(plate_metadata!$B$2:$M$9))+1)</f>
        <v>1.6564151723049503</v>
      </c>
    </row>
    <row r="27" spans="4:8">
      <c r="D27" s="10" t="str">
        <f>INDEX(plate_readout!$A$2:$A$9, INT((ROW()-2)/(COLUMNS(plate_readout!$B$2:$M$9)))+1)</f>
        <v>C</v>
      </c>
      <c r="E27" s="10">
        <f>INDEX(plate_readout!$B$1:$M$1,MOD(ROW()-2,COLUMNS(plate_readout!$B$2:$M$9))+1)</f>
        <v>2</v>
      </c>
      <c r="F27" s="10">
        <f ca="1">INDEX(plate_readout!$B$2:$M$9, INT((ROW()-2)/COLUMNS(plate_readout!$B$2:$M$9))+1, MOD(ROW()-2, COLUMNS(plate_readout!$B$2:$M$9))+1)</f>
        <v>2.6967785454544377</v>
      </c>
      <c r="G27" s="10" t="str">
        <f>INDEX(plate_materials!$B$2:$M$9, INT((ROW()-2)/COLUMNS(plate_materials!$B$2:$M$9))+1, MOD(ROW()-2, COLUMNS(plate_materials!$B$2:$M$9))+1)</f>
        <v>M2</v>
      </c>
      <c r="H27" s="10">
        <f ca="1">INDEX(plate_metadata!$B$2:$M$9, INT((ROW()-2)/COLUMNS(plate_metadata!$B$2:$M$9))+1, MOD(ROW()-2, COLUMNS(plate_metadata!$B$2:$M$9))+1)</f>
        <v>2.6743901200848592</v>
      </c>
    </row>
    <row r="28" spans="4:8">
      <c r="D28" s="10" t="str">
        <f>INDEX(plate_readout!$A$2:$A$9, INT((ROW()-2)/(COLUMNS(plate_readout!$B$2:$M$9)))+1)</f>
        <v>C</v>
      </c>
      <c r="E28" s="10">
        <f>INDEX(plate_readout!$B$1:$M$1,MOD(ROW()-2,COLUMNS(plate_readout!$B$2:$M$9))+1)</f>
        <v>3</v>
      </c>
      <c r="F28" s="10">
        <f ca="1">INDEX(plate_readout!$B$2:$M$9, INT((ROW()-2)/COLUMNS(plate_readout!$B$2:$M$9))+1, MOD(ROW()-2, COLUMNS(plate_readout!$B$2:$M$9))+1)</f>
        <v>3.7677592793799199</v>
      </c>
      <c r="G28" s="10" t="str">
        <f>INDEX(plate_materials!$B$2:$M$9, INT((ROW()-2)/COLUMNS(plate_materials!$B$2:$M$9))+1, MOD(ROW()-2, COLUMNS(plate_materials!$B$2:$M$9))+1)</f>
        <v>M3</v>
      </c>
      <c r="H28" s="10">
        <f ca="1">INDEX(plate_metadata!$B$2:$M$9, INT((ROW()-2)/COLUMNS(plate_metadata!$B$2:$M$9))+1, MOD(ROW()-2, COLUMNS(plate_metadata!$B$2:$M$9))+1)</f>
        <v>3.9074409950149596</v>
      </c>
    </row>
    <row r="29" spans="4:8">
      <c r="D29" s="10" t="str">
        <f>INDEX(plate_readout!$A$2:$A$9, INT((ROW()-2)/(COLUMNS(plate_readout!$B$2:$M$9)))+1)</f>
        <v>C</v>
      </c>
      <c r="E29" s="10">
        <f>INDEX(plate_readout!$B$1:$M$1,MOD(ROW()-2,COLUMNS(plate_readout!$B$2:$M$9))+1)</f>
        <v>4</v>
      </c>
      <c r="F29" s="10">
        <f ca="1">INDEX(plate_readout!$B$2:$M$9, INT((ROW()-2)/COLUMNS(plate_readout!$B$2:$M$9))+1, MOD(ROW()-2, COLUMNS(plate_readout!$B$2:$M$9))+1)</f>
        <v>4.6420596985508222</v>
      </c>
      <c r="G29" s="10" t="str">
        <f>INDEX(plate_materials!$B$2:$M$9, INT((ROW()-2)/COLUMNS(plate_materials!$B$2:$M$9))+1, MOD(ROW()-2, COLUMNS(plate_materials!$B$2:$M$9))+1)</f>
        <v>M4</v>
      </c>
      <c r="H29" s="10">
        <f ca="1">INDEX(plate_metadata!$B$2:$M$9, INT((ROW()-2)/COLUMNS(plate_metadata!$B$2:$M$9))+1, MOD(ROW()-2, COLUMNS(plate_metadata!$B$2:$M$9))+1)</f>
        <v>4.2722282124304716</v>
      </c>
    </row>
    <row r="30" spans="4:8">
      <c r="D30" s="10" t="str">
        <f>INDEX(plate_readout!$A$2:$A$9, INT((ROW()-2)/(COLUMNS(plate_readout!$B$2:$M$9)))+1)</f>
        <v>C</v>
      </c>
      <c r="E30" s="10">
        <f>INDEX(plate_readout!$B$1:$M$1,MOD(ROW()-2,COLUMNS(plate_readout!$B$2:$M$9))+1)</f>
        <v>5</v>
      </c>
      <c r="F30" s="10">
        <f ca="1">INDEX(plate_readout!$B$2:$M$9, INT((ROW()-2)/COLUMNS(plate_readout!$B$2:$M$9))+1, MOD(ROW()-2, COLUMNS(plate_readout!$B$2:$M$9))+1)</f>
        <v>5.0031304834467329</v>
      </c>
      <c r="G30" s="10" t="str">
        <f>INDEX(plate_materials!$B$2:$M$9, INT((ROW()-2)/COLUMNS(plate_materials!$B$2:$M$9))+1, MOD(ROW()-2, COLUMNS(plate_materials!$B$2:$M$9))+1)</f>
        <v>M5</v>
      </c>
      <c r="H30" s="10">
        <f ca="1">INDEX(plate_metadata!$B$2:$M$9, INT((ROW()-2)/COLUMNS(plate_metadata!$B$2:$M$9))+1, MOD(ROW()-2, COLUMNS(plate_metadata!$B$2:$M$9))+1)</f>
        <v>5.4723200055611532</v>
      </c>
    </row>
    <row r="31" spans="4:8">
      <c r="D31" s="10" t="str">
        <f>INDEX(plate_readout!$A$2:$A$9, INT((ROW()-2)/(COLUMNS(plate_readout!$B$2:$M$9)))+1)</f>
        <v>C</v>
      </c>
      <c r="E31" s="10">
        <f>INDEX(plate_readout!$B$1:$M$1,MOD(ROW()-2,COLUMNS(plate_readout!$B$2:$M$9))+1)</f>
        <v>6</v>
      </c>
      <c r="F31" s="10">
        <f ca="1">INDEX(plate_readout!$B$2:$M$9, INT((ROW()-2)/COLUMNS(plate_readout!$B$2:$M$9))+1, MOD(ROW()-2, COLUMNS(plate_readout!$B$2:$M$9))+1)</f>
        <v>6.7074610705487387</v>
      </c>
      <c r="G31" s="10" t="str">
        <f>INDEX(plate_materials!$B$2:$M$9, INT((ROW()-2)/COLUMNS(plate_materials!$B$2:$M$9))+1, MOD(ROW()-2, COLUMNS(plate_materials!$B$2:$M$9))+1)</f>
        <v>M6</v>
      </c>
      <c r="H31" s="10">
        <f ca="1">INDEX(plate_metadata!$B$2:$M$9, INT((ROW()-2)/COLUMNS(plate_metadata!$B$2:$M$9))+1, MOD(ROW()-2, COLUMNS(plate_metadata!$B$2:$M$9))+1)</f>
        <v>6.1871060696634705</v>
      </c>
    </row>
    <row r="32" spans="4:8">
      <c r="D32" s="10" t="str">
        <f>INDEX(plate_readout!$A$2:$A$9, INT((ROW()-2)/(COLUMNS(plate_readout!$B$2:$M$9)))+1)</f>
        <v>C</v>
      </c>
      <c r="E32" s="10">
        <f>INDEX(plate_readout!$B$1:$M$1,MOD(ROW()-2,COLUMNS(plate_readout!$B$2:$M$9))+1)</f>
        <v>7</v>
      </c>
      <c r="F32" s="10">
        <f ca="1">INDEX(plate_readout!$B$2:$M$9, INT((ROW()-2)/COLUMNS(plate_readout!$B$2:$M$9))+1, MOD(ROW()-2, COLUMNS(plate_readout!$B$2:$M$9))+1)</f>
        <v>7.4835300305632968</v>
      </c>
      <c r="G32" s="10" t="str">
        <f>INDEX(plate_materials!$B$2:$M$9, INT((ROW()-2)/COLUMNS(plate_materials!$B$2:$M$9))+1, MOD(ROW()-2, COLUMNS(plate_materials!$B$2:$M$9))+1)</f>
        <v>M7</v>
      </c>
      <c r="H32" s="10">
        <f ca="1">INDEX(plate_metadata!$B$2:$M$9, INT((ROW()-2)/COLUMNS(plate_metadata!$B$2:$M$9))+1, MOD(ROW()-2, COLUMNS(plate_metadata!$B$2:$M$9))+1)</f>
        <v>7.1641865031330658</v>
      </c>
    </row>
    <row r="33" spans="4:8">
      <c r="D33" s="10" t="str">
        <f>INDEX(plate_readout!$A$2:$A$9, INT((ROW()-2)/(COLUMNS(plate_readout!$B$2:$M$9)))+1)</f>
        <v>C</v>
      </c>
      <c r="E33" s="10">
        <f>INDEX(plate_readout!$B$1:$M$1,MOD(ROW()-2,COLUMNS(plate_readout!$B$2:$M$9))+1)</f>
        <v>8</v>
      </c>
      <c r="F33" s="10">
        <f ca="1">INDEX(plate_readout!$B$2:$M$9, INT((ROW()-2)/COLUMNS(plate_readout!$B$2:$M$9))+1, MOD(ROW()-2, COLUMNS(plate_readout!$B$2:$M$9))+1)</f>
        <v>8.5941732021258943</v>
      </c>
      <c r="G33" s="10" t="str">
        <f>INDEX(plate_materials!$B$2:$M$9, INT((ROW()-2)/COLUMNS(plate_materials!$B$2:$M$9))+1, MOD(ROW()-2, COLUMNS(plate_materials!$B$2:$M$9))+1)</f>
        <v>M8</v>
      </c>
      <c r="H33" s="10">
        <f ca="1">INDEX(plate_metadata!$B$2:$M$9, INT((ROW()-2)/COLUMNS(plate_metadata!$B$2:$M$9))+1, MOD(ROW()-2, COLUMNS(plate_metadata!$B$2:$M$9))+1)</f>
        <v>8.9636158387179794</v>
      </c>
    </row>
    <row r="34" spans="4:8">
      <c r="D34" s="10" t="str">
        <f>INDEX(plate_readout!$A$2:$A$9, INT((ROW()-2)/(COLUMNS(plate_readout!$B$2:$M$9)))+1)</f>
        <v>C</v>
      </c>
      <c r="E34" s="10">
        <f>INDEX(plate_readout!$B$1:$M$1,MOD(ROW()-2,COLUMNS(plate_readout!$B$2:$M$9))+1)</f>
        <v>9</v>
      </c>
      <c r="F34" s="10">
        <f ca="1">INDEX(plate_readout!$B$2:$M$9, INT((ROW()-2)/COLUMNS(plate_readout!$B$2:$M$9))+1, MOD(ROW()-2, COLUMNS(plate_readout!$B$2:$M$9))+1)</f>
        <v>9.0151432551478319</v>
      </c>
      <c r="G34" s="10" t="str">
        <f>INDEX(plate_materials!$B$2:$M$9, INT((ROW()-2)/COLUMNS(plate_materials!$B$2:$M$9))+1, MOD(ROW()-2, COLUMNS(plate_materials!$B$2:$M$9))+1)</f>
        <v>M9</v>
      </c>
      <c r="H34" s="10">
        <f ca="1">INDEX(plate_metadata!$B$2:$M$9, INT((ROW()-2)/COLUMNS(plate_metadata!$B$2:$M$9))+1, MOD(ROW()-2, COLUMNS(plate_metadata!$B$2:$M$9))+1)</f>
        <v>9.1849643949745445</v>
      </c>
    </row>
    <row r="35" spans="4:8">
      <c r="D35" s="10" t="str">
        <f>INDEX(plate_readout!$A$2:$A$9, INT((ROW()-2)/(COLUMNS(plate_readout!$B$2:$M$9)))+1)</f>
        <v>C</v>
      </c>
      <c r="E35" s="10">
        <f>INDEX(plate_readout!$B$1:$M$1,MOD(ROW()-2,COLUMNS(plate_readout!$B$2:$M$9))+1)</f>
        <v>10</v>
      </c>
      <c r="F35" s="10">
        <f ca="1">INDEX(plate_readout!$B$2:$M$9, INT((ROW()-2)/COLUMNS(plate_readout!$B$2:$M$9))+1, MOD(ROW()-2, COLUMNS(plate_readout!$B$2:$M$9))+1)</f>
        <v>10.021782161390302</v>
      </c>
      <c r="G35" s="10" t="str">
        <f>INDEX(plate_materials!$B$2:$M$9, INT((ROW()-2)/COLUMNS(plate_materials!$B$2:$M$9))+1, MOD(ROW()-2, COLUMNS(plate_materials!$B$2:$M$9))+1)</f>
        <v>M10</v>
      </c>
      <c r="H35" s="10">
        <f ca="1">INDEX(plate_metadata!$B$2:$M$9, INT((ROW()-2)/COLUMNS(plate_metadata!$B$2:$M$9))+1, MOD(ROW()-2, COLUMNS(plate_metadata!$B$2:$M$9))+1)</f>
        <v>10.445339112756177</v>
      </c>
    </row>
    <row r="36" spans="4:8">
      <c r="D36" s="10" t="str">
        <f>INDEX(plate_readout!$A$2:$A$9, INT((ROW()-2)/(COLUMNS(plate_readout!$B$2:$M$9)))+1)</f>
        <v>C</v>
      </c>
      <c r="E36" s="10">
        <f>INDEX(plate_readout!$B$1:$M$1,MOD(ROW()-2,COLUMNS(plate_readout!$B$2:$M$9))+1)</f>
        <v>11</v>
      </c>
      <c r="F36" s="10">
        <f ca="1">INDEX(plate_readout!$B$2:$M$9, INT((ROW()-2)/COLUMNS(plate_readout!$B$2:$M$9))+1, MOD(ROW()-2, COLUMNS(plate_readout!$B$2:$M$9))+1)</f>
        <v>11.789240541846871</v>
      </c>
      <c r="G36" s="10" t="str">
        <f>INDEX(plate_materials!$B$2:$M$9, INT((ROW()-2)/COLUMNS(plate_materials!$B$2:$M$9))+1, MOD(ROW()-2, COLUMNS(plate_materials!$B$2:$M$9))+1)</f>
        <v>M11</v>
      </c>
      <c r="H36" s="10">
        <f ca="1">INDEX(plate_metadata!$B$2:$M$9, INT((ROW()-2)/COLUMNS(plate_metadata!$B$2:$M$9))+1, MOD(ROW()-2, COLUMNS(plate_metadata!$B$2:$M$9))+1)</f>
        <v>11.389148083755062</v>
      </c>
    </row>
    <row r="37" spans="4:8">
      <c r="D37" s="10" t="str">
        <f>INDEX(plate_readout!$A$2:$A$9, INT((ROW()-2)/(COLUMNS(plate_readout!$B$2:$M$9)))+1)</f>
        <v>C</v>
      </c>
      <c r="E37" s="10">
        <f>INDEX(plate_readout!$B$1:$M$1,MOD(ROW()-2,COLUMNS(plate_readout!$B$2:$M$9))+1)</f>
        <v>12</v>
      </c>
      <c r="F37" s="10">
        <f ca="1">INDEX(plate_readout!$B$2:$M$9, INT((ROW()-2)/COLUMNS(plate_readout!$B$2:$M$9))+1, MOD(ROW()-2, COLUMNS(plate_readout!$B$2:$M$9))+1)</f>
        <v>12.791100783857727</v>
      </c>
      <c r="G37" s="10" t="str">
        <f>INDEX(plate_materials!$B$2:$M$9, INT((ROW()-2)/COLUMNS(plate_materials!$B$2:$M$9))+1, MOD(ROW()-2, COLUMNS(plate_materials!$B$2:$M$9))+1)</f>
        <v>M12</v>
      </c>
      <c r="H37" s="10">
        <f ca="1">INDEX(plate_metadata!$B$2:$M$9, INT((ROW()-2)/COLUMNS(plate_metadata!$B$2:$M$9))+1, MOD(ROW()-2, COLUMNS(plate_metadata!$B$2:$M$9))+1)</f>
        <v>12.222190074692042</v>
      </c>
    </row>
    <row r="38" spans="4:8">
      <c r="D38" s="10" t="str">
        <f>INDEX(plate_readout!$A$2:$A$9, INT((ROW()-2)/(COLUMNS(plate_readout!$B$2:$M$9)))+1)</f>
        <v>D</v>
      </c>
      <c r="E38" s="10">
        <f>INDEX(plate_readout!$B$1:$M$1,MOD(ROW()-2,COLUMNS(plate_readout!$B$2:$M$9))+1)</f>
        <v>1</v>
      </c>
      <c r="F38" s="10" t="str">
        <f>INDEX(plate_readout!$B$2:$M$9, INT((ROW()-2)/COLUMNS(plate_readout!$B$2:$M$9))+1, MOD(ROW()-2, COLUMNS(plate_readout!$B$2:$M$9))+1)</f>
        <v>d1</v>
      </c>
      <c r="G38" s="10" t="str">
        <f>INDEX(plate_materials!$B$2:$M$9, INT((ROW()-2)/COLUMNS(plate_materials!$B$2:$M$9))+1, MOD(ROW()-2, COLUMNS(plate_materials!$B$2:$M$9))+1)</f>
        <v>M1</v>
      </c>
      <c r="H38" s="10">
        <f ca="1">INDEX(plate_metadata!$B$2:$M$9, INT((ROW()-2)/COLUMNS(plate_metadata!$B$2:$M$9))+1, MOD(ROW()-2, COLUMNS(plate_metadata!$B$2:$M$9))+1)</f>
        <v>1.3008375366887737</v>
      </c>
    </row>
    <row r="39" spans="4:8">
      <c r="D39" s="10" t="str">
        <f>INDEX(plate_readout!$A$2:$A$9, INT((ROW()-2)/(COLUMNS(plate_readout!$B$2:$M$9)))+1)</f>
        <v>D</v>
      </c>
      <c r="E39" s="10">
        <f>INDEX(plate_readout!$B$1:$M$1,MOD(ROW()-2,COLUMNS(plate_readout!$B$2:$M$9))+1)</f>
        <v>2</v>
      </c>
      <c r="F39" s="10" t="str">
        <f>INDEX(plate_readout!$B$2:$M$9, INT((ROW()-2)/COLUMNS(plate_readout!$B$2:$M$9))+1, MOD(ROW()-2, COLUMNS(plate_readout!$B$2:$M$9))+1)</f>
        <v>d2</v>
      </c>
      <c r="G39" s="10" t="str">
        <f>INDEX(plate_materials!$B$2:$M$9, INT((ROW()-2)/COLUMNS(plate_materials!$B$2:$M$9))+1, MOD(ROW()-2, COLUMNS(plate_materials!$B$2:$M$9))+1)</f>
        <v>M2</v>
      </c>
      <c r="H39" s="10">
        <f ca="1">INDEX(plate_metadata!$B$2:$M$9, INT((ROW()-2)/COLUMNS(plate_metadata!$B$2:$M$9))+1, MOD(ROW()-2, COLUMNS(plate_metadata!$B$2:$M$9))+1)</f>
        <v>2.6481141134989321</v>
      </c>
    </row>
    <row r="40" spans="4:8">
      <c r="D40" s="10" t="str">
        <f>INDEX(plate_readout!$A$2:$A$9, INT((ROW()-2)/(COLUMNS(plate_readout!$B$2:$M$9)))+1)</f>
        <v>D</v>
      </c>
      <c r="E40" s="10">
        <f>INDEX(plate_readout!$B$1:$M$1,MOD(ROW()-2,COLUMNS(plate_readout!$B$2:$M$9))+1)</f>
        <v>3</v>
      </c>
      <c r="F40" s="10" t="str">
        <f>INDEX(plate_readout!$B$2:$M$9, INT((ROW()-2)/COLUMNS(plate_readout!$B$2:$M$9))+1, MOD(ROW()-2, COLUMNS(plate_readout!$B$2:$M$9))+1)</f>
        <v>d3</v>
      </c>
      <c r="G40" s="10" t="str">
        <f>INDEX(plate_materials!$B$2:$M$9, INT((ROW()-2)/COLUMNS(plate_materials!$B$2:$M$9))+1, MOD(ROW()-2, COLUMNS(plate_materials!$B$2:$M$9))+1)</f>
        <v>M3</v>
      </c>
      <c r="H40" s="10">
        <f ca="1">INDEX(plate_metadata!$B$2:$M$9, INT((ROW()-2)/COLUMNS(plate_metadata!$B$2:$M$9))+1, MOD(ROW()-2, COLUMNS(plate_metadata!$B$2:$M$9))+1)</f>
        <v>3.0331857134666436</v>
      </c>
    </row>
    <row r="41" spans="4:8">
      <c r="D41" s="10" t="str">
        <f>INDEX(plate_readout!$A$2:$A$9, INT((ROW()-2)/(COLUMNS(plate_readout!$B$2:$M$9)))+1)</f>
        <v>D</v>
      </c>
      <c r="E41" s="10">
        <f>INDEX(plate_readout!$B$1:$M$1,MOD(ROW()-2,COLUMNS(plate_readout!$B$2:$M$9))+1)</f>
        <v>4</v>
      </c>
      <c r="F41" s="10" t="str">
        <f>INDEX(plate_readout!$B$2:$M$9, INT((ROW()-2)/COLUMNS(plate_readout!$B$2:$M$9))+1, MOD(ROW()-2, COLUMNS(plate_readout!$B$2:$M$9))+1)</f>
        <v>d4</v>
      </c>
      <c r="G41" s="10" t="str">
        <f>INDEX(plate_materials!$B$2:$M$9, INT((ROW()-2)/COLUMNS(plate_materials!$B$2:$M$9))+1, MOD(ROW()-2, COLUMNS(plate_materials!$B$2:$M$9))+1)</f>
        <v>M4</v>
      </c>
      <c r="H41" s="10">
        <f ca="1">INDEX(plate_metadata!$B$2:$M$9, INT((ROW()-2)/COLUMNS(plate_metadata!$B$2:$M$9))+1, MOD(ROW()-2, COLUMNS(plate_metadata!$B$2:$M$9))+1)</f>
        <v>4.1240250739684683</v>
      </c>
    </row>
    <row r="42" spans="4:8">
      <c r="D42" s="10" t="str">
        <f>INDEX(plate_readout!$A$2:$A$9, INT((ROW()-2)/(COLUMNS(plate_readout!$B$2:$M$9)))+1)</f>
        <v>D</v>
      </c>
      <c r="E42" s="10">
        <f>INDEX(plate_readout!$B$1:$M$1,MOD(ROW()-2,COLUMNS(plate_readout!$B$2:$M$9))+1)</f>
        <v>5</v>
      </c>
      <c r="F42" s="10" t="str">
        <f>INDEX(plate_readout!$B$2:$M$9, INT((ROW()-2)/COLUMNS(plate_readout!$B$2:$M$9))+1, MOD(ROW()-2, COLUMNS(plate_readout!$B$2:$M$9))+1)</f>
        <v>d5</v>
      </c>
      <c r="G42" s="10" t="str">
        <f>INDEX(plate_materials!$B$2:$M$9, INT((ROW()-2)/COLUMNS(plate_materials!$B$2:$M$9))+1, MOD(ROW()-2, COLUMNS(plate_materials!$B$2:$M$9))+1)</f>
        <v>M5</v>
      </c>
      <c r="H42" s="10">
        <f ca="1">INDEX(plate_metadata!$B$2:$M$9, INT((ROW()-2)/COLUMNS(plate_metadata!$B$2:$M$9))+1, MOD(ROW()-2, COLUMNS(plate_metadata!$B$2:$M$9))+1)</f>
        <v>5.2202015684311807</v>
      </c>
    </row>
    <row r="43" spans="4:8">
      <c r="D43" s="10" t="str">
        <f>INDEX(plate_readout!$A$2:$A$9, INT((ROW()-2)/(COLUMNS(plate_readout!$B$2:$M$9)))+1)</f>
        <v>D</v>
      </c>
      <c r="E43" s="10">
        <f>INDEX(plate_readout!$B$1:$M$1,MOD(ROW()-2,COLUMNS(plate_readout!$B$2:$M$9))+1)</f>
        <v>6</v>
      </c>
      <c r="F43" s="10" t="str">
        <f>INDEX(plate_readout!$B$2:$M$9, INT((ROW()-2)/COLUMNS(plate_readout!$B$2:$M$9))+1, MOD(ROW()-2, COLUMNS(plate_readout!$B$2:$M$9))+1)</f>
        <v>d6</v>
      </c>
      <c r="G43" s="10" t="str">
        <f>INDEX(plate_materials!$B$2:$M$9, INT((ROW()-2)/COLUMNS(plate_materials!$B$2:$M$9))+1, MOD(ROW()-2, COLUMNS(plate_materials!$B$2:$M$9))+1)</f>
        <v>M6</v>
      </c>
      <c r="H43" s="10">
        <f ca="1">INDEX(plate_metadata!$B$2:$M$9, INT((ROW()-2)/COLUMNS(plate_metadata!$B$2:$M$9))+1, MOD(ROW()-2, COLUMNS(plate_metadata!$B$2:$M$9))+1)</f>
        <v>6.127850041436762</v>
      </c>
    </row>
    <row r="44" spans="4:8">
      <c r="D44" s="10" t="str">
        <f>INDEX(plate_readout!$A$2:$A$9, INT((ROW()-2)/(COLUMNS(plate_readout!$B$2:$M$9)))+1)</f>
        <v>D</v>
      </c>
      <c r="E44" s="10">
        <f>INDEX(plate_readout!$B$1:$M$1,MOD(ROW()-2,COLUMNS(plate_readout!$B$2:$M$9))+1)</f>
        <v>7</v>
      </c>
      <c r="F44" s="10" t="str">
        <f>INDEX(plate_readout!$B$2:$M$9, INT((ROW()-2)/COLUMNS(plate_readout!$B$2:$M$9))+1, MOD(ROW()-2, COLUMNS(plate_readout!$B$2:$M$9))+1)</f>
        <v>d7</v>
      </c>
      <c r="G44" s="10" t="str">
        <f>INDEX(plate_materials!$B$2:$M$9, INT((ROW()-2)/COLUMNS(plate_materials!$B$2:$M$9))+1, MOD(ROW()-2, COLUMNS(plate_materials!$B$2:$M$9))+1)</f>
        <v>M7</v>
      </c>
      <c r="H44" s="10">
        <f ca="1">INDEX(plate_metadata!$B$2:$M$9, INT((ROW()-2)/COLUMNS(plate_metadata!$B$2:$M$9))+1, MOD(ROW()-2, COLUMNS(plate_metadata!$B$2:$M$9))+1)</f>
        <v>7.9316990995274734</v>
      </c>
    </row>
    <row r="45" spans="4:8">
      <c r="D45" s="10" t="str">
        <f>INDEX(plate_readout!$A$2:$A$9, INT((ROW()-2)/(COLUMNS(plate_readout!$B$2:$M$9)))+1)</f>
        <v>D</v>
      </c>
      <c r="E45" s="10">
        <f>INDEX(plate_readout!$B$1:$M$1,MOD(ROW()-2,COLUMNS(plate_readout!$B$2:$M$9))+1)</f>
        <v>8</v>
      </c>
      <c r="F45" s="10" t="str">
        <f>INDEX(plate_readout!$B$2:$M$9, INT((ROW()-2)/COLUMNS(plate_readout!$B$2:$M$9))+1, MOD(ROW()-2, COLUMNS(plate_readout!$B$2:$M$9))+1)</f>
        <v>d8</v>
      </c>
      <c r="G45" s="10" t="str">
        <f>INDEX(plate_materials!$B$2:$M$9, INT((ROW()-2)/COLUMNS(plate_materials!$B$2:$M$9))+1, MOD(ROW()-2, COLUMNS(plate_materials!$B$2:$M$9))+1)</f>
        <v>M8</v>
      </c>
      <c r="H45" s="10">
        <f ca="1">INDEX(plate_metadata!$B$2:$M$9, INT((ROW()-2)/COLUMNS(plate_metadata!$B$2:$M$9))+1, MOD(ROW()-2, COLUMNS(plate_metadata!$B$2:$M$9))+1)</f>
        <v>8.281375406818448</v>
      </c>
    </row>
    <row r="46" spans="4:8">
      <c r="D46" s="10" t="str">
        <f>INDEX(plate_readout!$A$2:$A$9, INT((ROW()-2)/(COLUMNS(plate_readout!$B$2:$M$9)))+1)</f>
        <v>D</v>
      </c>
      <c r="E46" s="10">
        <f>INDEX(plate_readout!$B$1:$M$1,MOD(ROW()-2,COLUMNS(plate_readout!$B$2:$M$9))+1)</f>
        <v>9</v>
      </c>
      <c r="F46" s="10" t="str">
        <f>INDEX(plate_readout!$B$2:$M$9, INT((ROW()-2)/COLUMNS(plate_readout!$B$2:$M$9))+1, MOD(ROW()-2, COLUMNS(plate_readout!$B$2:$M$9))+1)</f>
        <v>d9</v>
      </c>
      <c r="G46" s="10" t="str">
        <f>INDEX(plate_materials!$B$2:$M$9, INT((ROW()-2)/COLUMNS(plate_materials!$B$2:$M$9))+1, MOD(ROW()-2, COLUMNS(plate_materials!$B$2:$M$9))+1)</f>
        <v>M9</v>
      </c>
      <c r="H46" s="10">
        <f ca="1">INDEX(plate_metadata!$B$2:$M$9, INT((ROW()-2)/COLUMNS(plate_metadata!$B$2:$M$9))+1, MOD(ROW()-2, COLUMNS(plate_metadata!$B$2:$M$9))+1)</f>
        <v>9.5675117323508019</v>
      </c>
    </row>
    <row r="47" spans="4:8">
      <c r="D47" s="10" t="str">
        <f>INDEX(plate_readout!$A$2:$A$9, INT((ROW()-2)/(COLUMNS(plate_readout!$B$2:$M$9)))+1)</f>
        <v>D</v>
      </c>
      <c r="E47" s="10">
        <f>INDEX(plate_readout!$B$1:$M$1,MOD(ROW()-2,COLUMNS(plate_readout!$B$2:$M$9))+1)</f>
        <v>10</v>
      </c>
      <c r="F47" s="10" t="str">
        <f>INDEX(plate_readout!$B$2:$M$9, INT((ROW()-2)/COLUMNS(plate_readout!$B$2:$M$9))+1, MOD(ROW()-2, COLUMNS(plate_readout!$B$2:$M$9))+1)</f>
        <v>d10</v>
      </c>
      <c r="G47" s="10" t="str">
        <f>INDEX(plate_materials!$B$2:$M$9, INT((ROW()-2)/COLUMNS(plate_materials!$B$2:$M$9))+1, MOD(ROW()-2, COLUMNS(plate_materials!$B$2:$M$9))+1)</f>
        <v>M10</v>
      </c>
      <c r="H47" s="10">
        <f ca="1">INDEX(plate_metadata!$B$2:$M$9, INT((ROW()-2)/COLUMNS(plate_metadata!$B$2:$M$9))+1, MOD(ROW()-2, COLUMNS(plate_metadata!$B$2:$M$9))+1)</f>
        <v>10.526910889859154</v>
      </c>
    </row>
    <row r="48" spans="4:8">
      <c r="D48" s="10" t="str">
        <f>INDEX(plate_readout!$A$2:$A$9, INT((ROW()-2)/(COLUMNS(plate_readout!$B$2:$M$9)))+1)</f>
        <v>D</v>
      </c>
      <c r="E48" s="10">
        <f>INDEX(plate_readout!$B$1:$M$1,MOD(ROW()-2,COLUMNS(plate_readout!$B$2:$M$9))+1)</f>
        <v>11</v>
      </c>
      <c r="F48" s="10" t="str">
        <f>INDEX(plate_readout!$B$2:$M$9, INT((ROW()-2)/COLUMNS(plate_readout!$B$2:$M$9))+1, MOD(ROW()-2, COLUMNS(plate_readout!$B$2:$M$9))+1)</f>
        <v>d11</v>
      </c>
      <c r="G48" s="10" t="str">
        <f>INDEX(plate_materials!$B$2:$M$9, INT((ROW()-2)/COLUMNS(plate_materials!$B$2:$M$9))+1, MOD(ROW()-2, COLUMNS(plate_materials!$B$2:$M$9))+1)</f>
        <v>M11</v>
      </c>
      <c r="H48" s="10">
        <f ca="1">INDEX(plate_metadata!$B$2:$M$9, INT((ROW()-2)/COLUMNS(plate_metadata!$B$2:$M$9))+1, MOD(ROW()-2, COLUMNS(plate_metadata!$B$2:$M$9))+1)</f>
        <v>11.857488007532185</v>
      </c>
    </row>
    <row r="49" spans="4:8">
      <c r="D49" s="10" t="str">
        <f>INDEX(plate_readout!$A$2:$A$9, INT((ROW()-2)/(COLUMNS(plate_readout!$B$2:$M$9)))+1)</f>
        <v>D</v>
      </c>
      <c r="E49" s="10">
        <f>INDEX(plate_readout!$B$1:$M$1,MOD(ROW()-2,COLUMNS(plate_readout!$B$2:$M$9))+1)</f>
        <v>12</v>
      </c>
      <c r="F49" s="10" t="str">
        <f>INDEX(plate_readout!$B$2:$M$9, INT((ROW()-2)/COLUMNS(plate_readout!$B$2:$M$9))+1, MOD(ROW()-2, COLUMNS(plate_readout!$B$2:$M$9))+1)</f>
        <v>d12</v>
      </c>
      <c r="G49" s="10" t="str">
        <f>INDEX(plate_materials!$B$2:$M$9, INT((ROW()-2)/COLUMNS(plate_materials!$B$2:$M$9))+1, MOD(ROW()-2, COLUMNS(plate_materials!$B$2:$M$9))+1)</f>
        <v>M12</v>
      </c>
      <c r="H49" s="10">
        <f ca="1">INDEX(plate_metadata!$B$2:$M$9, INT((ROW()-2)/COLUMNS(plate_metadata!$B$2:$M$9))+1, MOD(ROW()-2, COLUMNS(plate_metadata!$B$2:$M$9))+1)</f>
        <v>12.554284840588846</v>
      </c>
    </row>
    <row r="50" spans="4:8">
      <c r="D50" s="10" t="str">
        <f>INDEX(plate_readout!$A$2:$A$9, INT((ROW()-2)/(COLUMNS(plate_readout!$B$2:$M$9)))+1)</f>
        <v>E</v>
      </c>
      <c r="E50" s="10">
        <f>INDEX(plate_readout!$B$1:$M$1,MOD(ROW()-2,COLUMNS(plate_readout!$B$2:$M$9))+1)</f>
        <v>1</v>
      </c>
      <c r="F50" s="10">
        <f ca="1">INDEX(plate_readout!$B$2:$M$9, INT((ROW()-2)/COLUMNS(plate_readout!$B$2:$M$9))+1, MOD(ROW()-2, COLUMNS(plate_readout!$B$2:$M$9))+1)</f>
        <v>1.0438540335226687</v>
      </c>
      <c r="G50" s="10" t="str">
        <f>INDEX(plate_materials!$B$2:$M$9, INT((ROW()-2)/COLUMNS(plate_materials!$B$2:$M$9))+1, MOD(ROW()-2, COLUMNS(plate_materials!$B$2:$M$9))+1)</f>
        <v>M1</v>
      </c>
      <c r="H50" s="10">
        <f ca="1">INDEX(plate_metadata!$B$2:$M$9, INT((ROW()-2)/COLUMNS(plate_metadata!$B$2:$M$9))+1, MOD(ROW()-2, COLUMNS(plate_metadata!$B$2:$M$9))+1)</f>
        <v>1.9765630861972421</v>
      </c>
    </row>
    <row r="51" spans="4:8">
      <c r="D51" s="10" t="str">
        <f>INDEX(plate_readout!$A$2:$A$9, INT((ROW()-2)/(COLUMNS(plate_readout!$B$2:$M$9)))+1)</f>
        <v>E</v>
      </c>
      <c r="E51" s="10">
        <f>INDEX(plate_readout!$B$1:$M$1,MOD(ROW()-2,COLUMNS(plate_readout!$B$2:$M$9))+1)</f>
        <v>2</v>
      </c>
      <c r="F51" s="10">
        <f ca="1">INDEX(plate_readout!$B$2:$M$9, INT((ROW()-2)/COLUMNS(plate_readout!$B$2:$M$9))+1, MOD(ROW()-2, COLUMNS(plate_readout!$B$2:$M$9))+1)</f>
        <v>2.6952944997719497</v>
      </c>
      <c r="G51" s="10" t="str">
        <f>INDEX(plate_materials!$B$2:$M$9, INT((ROW()-2)/COLUMNS(plate_materials!$B$2:$M$9))+1, MOD(ROW()-2, COLUMNS(plate_materials!$B$2:$M$9))+1)</f>
        <v>M2</v>
      </c>
      <c r="H51" s="10">
        <f ca="1">INDEX(plate_metadata!$B$2:$M$9, INT((ROW()-2)/COLUMNS(plate_metadata!$B$2:$M$9))+1, MOD(ROW()-2, COLUMNS(plate_metadata!$B$2:$M$9))+1)</f>
        <v>2.450576232826005</v>
      </c>
    </row>
    <row r="52" spans="4:8">
      <c r="D52" s="10" t="str">
        <f>INDEX(plate_readout!$A$2:$A$9, INT((ROW()-2)/(COLUMNS(plate_readout!$B$2:$M$9)))+1)</f>
        <v>E</v>
      </c>
      <c r="E52" s="10">
        <f>INDEX(plate_readout!$B$1:$M$1,MOD(ROW()-2,COLUMNS(plate_readout!$B$2:$M$9))+1)</f>
        <v>3</v>
      </c>
      <c r="F52" s="10">
        <f ca="1">INDEX(plate_readout!$B$2:$M$9, INT((ROW()-2)/COLUMNS(plate_readout!$B$2:$M$9))+1, MOD(ROW()-2, COLUMNS(plate_readout!$B$2:$M$9))+1)</f>
        <v>3.5264970076847861</v>
      </c>
      <c r="G52" s="10" t="str">
        <f>INDEX(plate_materials!$B$2:$M$9, INT((ROW()-2)/COLUMNS(plate_materials!$B$2:$M$9))+1, MOD(ROW()-2, COLUMNS(plate_materials!$B$2:$M$9))+1)</f>
        <v>M3</v>
      </c>
      <c r="H52" s="10">
        <f ca="1">INDEX(plate_metadata!$B$2:$M$9, INT((ROW()-2)/COLUMNS(plate_metadata!$B$2:$M$9))+1, MOD(ROW()-2, COLUMNS(plate_metadata!$B$2:$M$9))+1)</f>
        <v>3.1020443809402103</v>
      </c>
    </row>
    <row r="53" spans="4:8">
      <c r="D53" s="10" t="str">
        <f>INDEX(plate_readout!$A$2:$A$9, INT((ROW()-2)/(COLUMNS(plate_readout!$B$2:$M$9)))+1)</f>
        <v>E</v>
      </c>
      <c r="E53" s="10">
        <f>INDEX(plate_readout!$B$1:$M$1,MOD(ROW()-2,COLUMNS(plate_readout!$B$2:$M$9))+1)</f>
        <v>4</v>
      </c>
      <c r="F53" s="10">
        <f ca="1">INDEX(plate_readout!$B$2:$M$9, INT((ROW()-2)/COLUMNS(plate_readout!$B$2:$M$9))+1, MOD(ROW()-2, COLUMNS(plate_readout!$B$2:$M$9))+1)</f>
        <v>4.4123058199675587</v>
      </c>
      <c r="G53" s="10" t="str">
        <f>INDEX(plate_materials!$B$2:$M$9, INT((ROW()-2)/COLUMNS(plate_materials!$B$2:$M$9))+1, MOD(ROW()-2, COLUMNS(plate_materials!$B$2:$M$9))+1)</f>
        <v>M4</v>
      </c>
      <c r="H53" s="10">
        <f ca="1">INDEX(plate_metadata!$B$2:$M$9, INT((ROW()-2)/COLUMNS(plate_metadata!$B$2:$M$9))+1, MOD(ROW()-2, COLUMNS(plate_metadata!$B$2:$M$9))+1)</f>
        <v>4.7514083528541056</v>
      </c>
    </row>
    <row r="54" spans="4:8">
      <c r="D54" s="10" t="str">
        <f>INDEX(plate_readout!$A$2:$A$9, INT((ROW()-2)/(COLUMNS(plate_readout!$B$2:$M$9)))+1)</f>
        <v>E</v>
      </c>
      <c r="E54" s="10">
        <f>INDEX(plate_readout!$B$1:$M$1,MOD(ROW()-2,COLUMNS(plate_readout!$B$2:$M$9))+1)</f>
        <v>5</v>
      </c>
      <c r="F54" s="10">
        <f ca="1">INDEX(plate_readout!$B$2:$M$9, INT((ROW()-2)/COLUMNS(plate_readout!$B$2:$M$9))+1, MOD(ROW()-2, COLUMNS(plate_readout!$B$2:$M$9))+1)</f>
        <v>5.6723718653351805</v>
      </c>
      <c r="G54" s="10" t="str">
        <f>INDEX(plate_materials!$B$2:$M$9, INT((ROW()-2)/COLUMNS(plate_materials!$B$2:$M$9))+1, MOD(ROW()-2, COLUMNS(plate_materials!$B$2:$M$9))+1)</f>
        <v>M5</v>
      </c>
      <c r="H54" s="10">
        <f ca="1">INDEX(plate_metadata!$B$2:$M$9, INT((ROW()-2)/COLUMNS(plate_metadata!$B$2:$M$9))+1, MOD(ROW()-2, COLUMNS(plate_metadata!$B$2:$M$9))+1)</f>
        <v>5.0496997788207674</v>
      </c>
    </row>
    <row r="55" spans="4:8">
      <c r="D55" s="10" t="str">
        <f>INDEX(plate_readout!$A$2:$A$9, INT((ROW()-2)/(COLUMNS(plate_readout!$B$2:$M$9)))+1)</f>
        <v>E</v>
      </c>
      <c r="E55" s="10">
        <f>INDEX(plate_readout!$B$1:$M$1,MOD(ROW()-2,COLUMNS(plate_readout!$B$2:$M$9))+1)</f>
        <v>6</v>
      </c>
      <c r="F55" s="10">
        <f ca="1">INDEX(plate_readout!$B$2:$M$9, INT((ROW()-2)/COLUMNS(plate_readout!$B$2:$M$9))+1, MOD(ROW()-2, COLUMNS(plate_readout!$B$2:$M$9))+1)</f>
        <v>6.8786952276295992</v>
      </c>
      <c r="G55" s="10" t="str">
        <f>INDEX(plate_materials!$B$2:$M$9, INT((ROW()-2)/COLUMNS(plate_materials!$B$2:$M$9))+1, MOD(ROW()-2, COLUMNS(plate_materials!$B$2:$M$9))+1)</f>
        <v>M6</v>
      </c>
      <c r="H55" s="10">
        <f ca="1">INDEX(plate_metadata!$B$2:$M$9, INT((ROW()-2)/COLUMNS(plate_metadata!$B$2:$M$9))+1, MOD(ROW()-2, COLUMNS(plate_metadata!$B$2:$M$9))+1)</f>
        <v>6.606660526877965</v>
      </c>
    </row>
    <row r="56" spans="4:8">
      <c r="D56" s="10" t="str">
        <f>INDEX(plate_readout!$A$2:$A$9, INT((ROW()-2)/(COLUMNS(plate_readout!$B$2:$M$9)))+1)</f>
        <v>E</v>
      </c>
      <c r="E56" s="10">
        <f>INDEX(plate_readout!$B$1:$M$1,MOD(ROW()-2,COLUMNS(plate_readout!$B$2:$M$9))+1)</f>
        <v>7</v>
      </c>
      <c r="F56" s="10">
        <f ca="1">INDEX(plate_readout!$B$2:$M$9, INT((ROW()-2)/COLUMNS(plate_readout!$B$2:$M$9))+1, MOD(ROW()-2, COLUMNS(plate_readout!$B$2:$M$9))+1)</f>
        <v>7.2484456004107445</v>
      </c>
      <c r="G56" s="10" t="str">
        <f>INDEX(plate_materials!$B$2:$M$9, INT((ROW()-2)/COLUMNS(plate_materials!$B$2:$M$9))+1, MOD(ROW()-2, COLUMNS(plate_materials!$B$2:$M$9))+1)</f>
        <v>M7</v>
      </c>
      <c r="H56" s="10">
        <f ca="1">INDEX(plate_metadata!$B$2:$M$9, INT((ROW()-2)/COLUMNS(plate_metadata!$B$2:$M$9))+1, MOD(ROW()-2, COLUMNS(plate_metadata!$B$2:$M$9))+1)</f>
        <v>7.2735231830861498</v>
      </c>
    </row>
    <row r="57" spans="4:8">
      <c r="D57" s="10" t="str">
        <f>INDEX(plate_readout!$A$2:$A$9, INT((ROW()-2)/(COLUMNS(plate_readout!$B$2:$M$9)))+1)</f>
        <v>E</v>
      </c>
      <c r="E57" s="10">
        <f>INDEX(plate_readout!$B$1:$M$1,MOD(ROW()-2,COLUMNS(plate_readout!$B$2:$M$9))+1)</f>
        <v>8</v>
      </c>
      <c r="F57" s="10">
        <f ca="1">INDEX(plate_readout!$B$2:$M$9, INT((ROW()-2)/COLUMNS(plate_readout!$B$2:$M$9))+1, MOD(ROW()-2, COLUMNS(plate_readout!$B$2:$M$9))+1)</f>
        <v>8.4844904661704756</v>
      </c>
      <c r="G57" s="10" t="str">
        <f>INDEX(plate_materials!$B$2:$M$9, INT((ROW()-2)/COLUMNS(plate_materials!$B$2:$M$9))+1, MOD(ROW()-2, COLUMNS(plate_materials!$B$2:$M$9))+1)</f>
        <v>M8</v>
      </c>
      <c r="H57" s="10">
        <f ca="1">INDEX(plate_metadata!$B$2:$M$9, INT((ROW()-2)/COLUMNS(plate_metadata!$B$2:$M$9))+1, MOD(ROW()-2, COLUMNS(plate_metadata!$B$2:$M$9))+1)</f>
        <v>8.1037387144069051</v>
      </c>
    </row>
    <row r="58" spans="4:8">
      <c r="D58" s="10" t="str">
        <f>INDEX(plate_readout!$A$2:$A$9, INT((ROW()-2)/(COLUMNS(plate_readout!$B$2:$M$9)))+1)</f>
        <v>E</v>
      </c>
      <c r="E58" s="10">
        <f>INDEX(plate_readout!$B$1:$M$1,MOD(ROW()-2,COLUMNS(plate_readout!$B$2:$M$9))+1)</f>
        <v>9</v>
      </c>
      <c r="F58" s="10">
        <f ca="1">INDEX(plate_readout!$B$2:$M$9, INT((ROW()-2)/COLUMNS(plate_readout!$B$2:$M$9))+1, MOD(ROW()-2, COLUMNS(plate_readout!$B$2:$M$9))+1)</f>
        <v>9.9880617109121932</v>
      </c>
      <c r="G58" s="10" t="str">
        <f>INDEX(plate_materials!$B$2:$M$9, INT((ROW()-2)/COLUMNS(plate_materials!$B$2:$M$9))+1, MOD(ROW()-2, COLUMNS(plate_materials!$B$2:$M$9))+1)</f>
        <v>M9</v>
      </c>
      <c r="H58" s="10">
        <f ca="1">INDEX(plate_metadata!$B$2:$M$9, INT((ROW()-2)/COLUMNS(plate_metadata!$B$2:$M$9))+1, MOD(ROW()-2, COLUMNS(plate_metadata!$B$2:$M$9))+1)</f>
        <v>9.0482808551491267</v>
      </c>
    </row>
    <row r="59" spans="4:8">
      <c r="D59" s="10" t="str">
        <f>INDEX(plate_readout!$A$2:$A$9, INT((ROW()-2)/(COLUMNS(plate_readout!$B$2:$M$9)))+1)</f>
        <v>E</v>
      </c>
      <c r="E59" s="10">
        <f>INDEX(plate_readout!$B$1:$M$1,MOD(ROW()-2,COLUMNS(plate_readout!$B$2:$M$9))+1)</f>
        <v>10</v>
      </c>
      <c r="F59" s="10">
        <f ca="1">INDEX(plate_readout!$B$2:$M$9, INT((ROW()-2)/COLUMNS(plate_readout!$B$2:$M$9))+1, MOD(ROW()-2, COLUMNS(plate_readout!$B$2:$M$9))+1)</f>
        <v>10.395206222077817</v>
      </c>
      <c r="G59" s="10" t="str">
        <f>INDEX(plate_materials!$B$2:$M$9, INT((ROW()-2)/COLUMNS(plate_materials!$B$2:$M$9))+1, MOD(ROW()-2, COLUMNS(plate_materials!$B$2:$M$9))+1)</f>
        <v>M10</v>
      </c>
      <c r="H59" s="10">
        <f ca="1">INDEX(plate_metadata!$B$2:$M$9, INT((ROW()-2)/COLUMNS(plate_metadata!$B$2:$M$9))+1, MOD(ROW()-2, COLUMNS(plate_metadata!$B$2:$M$9))+1)</f>
        <v>10.643873865478561</v>
      </c>
    </row>
    <row r="60" spans="4:8">
      <c r="D60" s="10" t="str">
        <f>INDEX(plate_readout!$A$2:$A$9, INT((ROW()-2)/(COLUMNS(plate_readout!$B$2:$M$9)))+1)</f>
        <v>E</v>
      </c>
      <c r="E60" s="10">
        <f>INDEX(plate_readout!$B$1:$M$1,MOD(ROW()-2,COLUMNS(plate_readout!$B$2:$M$9))+1)</f>
        <v>11</v>
      </c>
      <c r="F60" s="10">
        <f ca="1">INDEX(plate_readout!$B$2:$M$9, INT((ROW()-2)/COLUMNS(plate_readout!$B$2:$M$9))+1, MOD(ROW()-2, COLUMNS(plate_readout!$B$2:$M$9))+1)</f>
        <v>11.168748755928828</v>
      </c>
      <c r="G60" s="10" t="str">
        <f>INDEX(plate_materials!$B$2:$M$9, INT((ROW()-2)/COLUMNS(plate_materials!$B$2:$M$9))+1, MOD(ROW()-2, COLUMNS(plate_materials!$B$2:$M$9))+1)</f>
        <v>M11</v>
      </c>
      <c r="H60" s="10">
        <f ca="1">INDEX(plate_metadata!$B$2:$M$9, INT((ROW()-2)/COLUMNS(plate_metadata!$B$2:$M$9))+1, MOD(ROW()-2, COLUMNS(plate_metadata!$B$2:$M$9))+1)</f>
        <v>11.67480700518335</v>
      </c>
    </row>
    <row r="61" spans="4:8">
      <c r="D61" s="10" t="str">
        <f>INDEX(plate_readout!$A$2:$A$9, INT((ROW()-2)/(COLUMNS(plate_readout!$B$2:$M$9)))+1)</f>
        <v>E</v>
      </c>
      <c r="E61" s="10">
        <f>INDEX(plate_readout!$B$1:$M$1,MOD(ROW()-2,COLUMNS(plate_readout!$B$2:$M$9))+1)</f>
        <v>12</v>
      </c>
      <c r="F61" s="10">
        <f ca="1">INDEX(plate_readout!$B$2:$M$9, INT((ROW()-2)/COLUMNS(plate_readout!$B$2:$M$9))+1, MOD(ROW()-2, COLUMNS(plate_readout!$B$2:$M$9))+1)</f>
        <v>12.995786148379564</v>
      </c>
      <c r="G61" s="10" t="str">
        <f>INDEX(plate_materials!$B$2:$M$9, INT((ROW()-2)/COLUMNS(plate_materials!$B$2:$M$9))+1, MOD(ROW()-2, COLUMNS(plate_materials!$B$2:$M$9))+1)</f>
        <v>M12</v>
      </c>
      <c r="H61" s="10">
        <f ca="1">INDEX(plate_metadata!$B$2:$M$9, INT((ROW()-2)/COLUMNS(plate_metadata!$B$2:$M$9))+1, MOD(ROW()-2, COLUMNS(plate_metadata!$B$2:$M$9))+1)</f>
        <v>12.288150479983457</v>
      </c>
    </row>
    <row r="62" spans="4:8">
      <c r="D62" s="10" t="str">
        <f>INDEX(plate_readout!$A$2:$A$9, INT((ROW()-2)/(COLUMNS(plate_readout!$B$2:$M$9)))+1)</f>
        <v>F</v>
      </c>
      <c r="E62" s="10">
        <f>INDEX(plate_readout!$B$1:$M$1,MOD(ROW()-2,COLUMNS(plate_readout!$B$2:$M$9))+1)</f>
        <v>1</v>
      </c>
      <c r="F62" s="10">
        <f ca="1">INDEX(plate_readout!$B$2:$M$9, INT((ROW()-2)/COLUMNS(plate_readout!$B$2:$M$9))+1, MOD(ROW()-2, COLUMNS(plate_readout!$B$2:$M$9))+1)</f>
        <v>1.416741502145572</v>
      </c>
      <c r="G62" s="10" t="str">
        <f>INDEX(plate_materials!$B$2:$M$9, INT((ROW()-2)/COLUMNS(plate_materials!$B$2:$M$9))+1, MOD(ROW()-2, COLUMNS(plate_materials!$B$2:$M$9))+1)</f>
        <v>M1</v>
      </c>
      <c r="H62" s="10">
        <f ca="1">INDEX(plate_metadata!$B$2:$M$9, INT((ROW()-2)/COLUMNS(plate_metadata!$B$2:$M$9))+1, MOD(ROW()-2, COLUMNS(plate_metadata!$B$2:$M$9))+1)</f>
        <v>1.3730591695228012</v>
      </c>
    </row>
    <row r="63" spans="4:8">
      <c r="D63" s="10" t="str">
        <f>INDEX(plate_readout!$A$2:$A$9, INT((ROW()-2)/(COLUMNS(plate_readout!$B$2:$M$9)))+1)</f>
        <v>F</v>
      </c>
      <c r="E63" s="10">
        <f>INDEX(plate_readout!$B$1:$M$1,MOD(ROW()-2,COLUMNS(plate_readout!$B$2:$M$9))+1)</f>
        <v>2</v>
      </c>
      <c r="F63" s="10">
        <f ca="1">INDEX(plate_readout!$B$2:$M$9, INT((ROW()-2)/COLUMNS(plate_readout!$B$2:$M$9))+1, MOD(ROW()-2, COLUMNS(plate_readout!$B$2:$M$9))+1)</f>
        <v>2.5811061020000245</v>
      </c>
      <c r="G63" s="10" t="str">
        <f>INDEX(plate_materials!$B$2:$M$9, INT((ROW()-2)/COLUMNS(plate_materials!$B$2:$M$9))+1, MOD(ROW()-2, COLUMNS(plate_materials!$B$2:$M$9))+1)</f>
        <v>M2</v>
      </c>
      <c r="H63" s="10">
        <f ca="1">INDEX(plate_metadata!$B$2:$M$9, INT((ROW()-2)/COLUMNS(plate_metadata!$B$2:$M$9))+1, MOD(ROW()-2, COLUMNS(plate_metadata!$B$2:$M$9))+1)</f>
        <v>2.1547522816447602</v>
      </c>
    </row>
    <row r="64" spans="4:8">
      <c r="D64" s="10" t="str">
        <f>INDEX(plate_readout!$A$2:$A$9, INT((ROW()-2)/(COLUMNS(plate_readout!$B$2:$M$9)))+1)</f>
        <v>F</v>
      </c>
      <c r="E64" s="10">
        <f>INDEX(plate_readout!$B$1:$M$1,MOD(ROW()-2,COLUMNS(plate_readout!$B$2:$M$9))+1)</f>
        <v>3</v>
      </c>
      <c r="F64" s="10">
        <f ca="1">INDEX(plate_readout!$B$2:$M$9, INT((ROW()-2)/COLUMNS(plate_readout!$B$2:$M$9))+1, MOD(ROW()-2, COLUMNS(plate_readout!$B$2:$M$9))+1)</f>
        <v>3.0283256915925656</v>
      </c>
      <c r="G64" s="10" t="str">
        <f>INDEX(plate_materials!$B$2:$M$9, INT((ROW()-2)/COLUMNS(plate_materials!$B$2:$M$9))+1, MOD(ROW()-2, COLUMNS(plate_materials!$B$2:$M$9))+1)</f>
        <v>M3</v>
      </c>
      <c r="H64" s="10">
        <f ca="1">INDEX(plate_metadata!$B$2:$M$9, INT((ROW()-2)/COLUMNS(plate_metadata!$B$2:$M$9))+1, MOD(ROW()-2, COLUMNS(plate_metadata!$B$2:$M$9))+1)</f>
        <v>3.2659351205073808</v>
      </c>
    </row>
    <row r="65" spans="4:8">
      <c r="D65" s="10" t="str">
        <f>INDEX(plate_readout!$A$2:$A$9, INT((ROW()-2)/(COLUMNS(plate_readout!$B$2:$M$9)))+1)</f>
        <v>F</v>
      </c>
      <c r="E65" s="10">
        <f>INDEX(plate_readout!$B$1:$M$1,MOD(ROW()-2,COLUMNS(plate_readout!$B$2:$M$9))+1)</f>
        <v>4</v>
      </c>
      <c r="F65" s="10">
        <f ca="1">INDEX(plate_readout!$B$2:$M$9, INT((ROW()-2)/COLUMNS(plate_readout!$B$2:$M$9))+1, MOD(ROW()-2, COLUMNS(plate_readout!$B$2:$M$9))+1)</f>
        <v>4.5647230320685512</v>
      </c>
      <c r="G65" s="10" t="str">
        <f>INDEX(plate_materials!$B$2:$M$9, INT((ROW()-2)/COLUMNS(plate_materials!$B$2:$M$9))+1, MOD(ROW()-2, COLUMNS(plate_materials!$B$2:$M$9))+1)</f>
        <v>M4</v>
      </c>
      <c r="H65" s="10">
        <f ca="1">INDEX(plate_metadata!$B$2:$M$9, INT((ROW()-2)/COLUMNS(plate_metadata!$B$2:$M$9))+1, MOD(ROW()-2, COLUMNS(plate_metadata!$B$2:$M$9))+1)</f>
        <v>4.8979525193288902</v>
      </c>
    </row>
    <row r="66" spans="4:8">
      <c r="D66" s="10" t="str">
        <f>INDEX(plate_readout!$A$2:$A$9, INT((ROW()-2)/(COLUMNS(plate_readout!$B$2:$M$9)))+1)</f>
        <v>F</v>
      </c>
      <c r="E66" s="10">
        <f>INDEX(plate_readout!$B$1:$M$1,MOD(ROW()-2,COLUMNS(plate_readout!$B$2:$M$9))+1)</f>
        <v>5</v>
      </c>
      <c r="F66" s="10">
        <f ca="1">INDEX(plate_readout!$B$2:$M$9, INT((ROW()-2)/COLUMNS(plate_readout!$B$2:$M$9))+1, MOD(ROW()-2, COLUMNS(plate_readout!$B$2:$M$9))+1)</f>
        <v>5.3105142222329134</v>
      </c>
      <c r="G66" s="10" t="str">
        <f>INDEX(plate_materials!$B$2:$M$9, INT((ROW()-2)/COLUMNS(plate_materials!$B$2:$M$9))+1, MOD(ROW()-2, COLUMNS(plate_materials!$B$2:$M$9))+1)</f>
        <v>M5</v>
      </c>
      <c r="H66" s="10">
        <f ca="1">INDEX(plate_metadata!$B$2:$M$9, INT((ROW()-2)/COLUMNS(plate_metadata!$B$2:$M$9))+1, MOD(ROW()-2, COLUMNS(plate_metadata!$B$2:$M$9))+1)</f>
        <v>5.1384703389446997</v>
      </c>
    </row>
    <row r="67" spans="4:8">
      <c r="D67" s="10" t="str">
        <f>INDEX(plate_readout!$A$2:$A$9, INT((ROW()-2)/(COLUMNS(plate_readout!$B$2:$M$9)))+1)</f>
        <v>F</v>
      </c>
      <c r="E67" s="10">
        <f>INDEX(plate_readout!$B$1:$M$1,MOD(ROW()-2,COLUMNS(plate_readout!$B$2:$M$9))+1)</f>
        <v>6</v>
      </c>
      <c r="F67" s="10">
        <f ca="1">INDEX(plate_readout!$B$2:$M$9, INT((ROW()-2)/COLUMNS(plate_readout!$B$2:$M$9))+1, MOD(ROW()-2, COLUMNS(plate_readout!$B$2:$M$9))+1)</f>
        <v>6.1335888101703322</v>
      </c>
      <c r="G67" s="10" t="str">
        <f>INDEX(plate_materials!$B$2:$M$9, INT((ROW()-2)/COLUMNS(plate_materials!$B$2:$M$9))+1, MOD(ROW()-2, COLUMNS(plate_materials!$B$2:$M$9))+1)</f>
        <v>M6</v>
      </c>
      <c r="H67" s="10">
        <f ca="1">INDEX(plate_metadata!$B$2:$M$9, INT((ROW()-2)/COLUMNS(plate_metadata!$B$2:$M$9))+1, MOD(ROW()-2, COLUMNS(plate_metadata!$B$2:$M$9))+1)</f>
        <v>6.4102805173767141</v>
      </c>
    </row>
    <row r="68" spans="4:8">
      <c r="D68" s="10" t="str">
        <f>INDEX(plate_readout!$A$2:$A$9, INT((ROW()-2)/(COLUMNS(plate_readout!$B$2:$M$9)))+1)</f>
        <v>F</v>
      </c>
      <c r="E68" s="10">
        <f>INDEX(plate_readout!$B$1:$M$1,MOD(ROW()-2,COLUMNS(plate_readout!$B$2:$M$9))+1)</f>
        <v>7</v>
      </c>
      <c r="F68" s="10">
        <f ca="1">INDEX(plate_readout!$B$2:$M$9, INT((ROW()-2)/COLUMNS(plate_readout!$B$2:$M$9))+1, MOD(ROW()-2, COLUMNS(plate_readout!$B$2:$M$9))+1)</f>
        <v>7.6016650265235626</v>
      </c>
      <c r="G68" s="10" t="str">
        <f>INDEX(plate_materials!$B$2:$M$9, INT((ROW()-2)/COLUMNS(plate_materials!$B$2:$M$9))+1, MOD(ROW()-2, COLUMNS(plate_materials!$B$2:$M$9))+1)</f>
        <v>M7</v>
      </c>
      <c r="H68" s="10">
        <f ca="1">INDEX(plate_metadata!$B$2:$M$9, INT((ROW()-2)/COLUMNS(plate_metadata!$B$2:$M$9))+1, MOD(ROW()-2, COLUMNS(plate_metadata!$B$2:$M$9))+1)</f>
        <v>7.5495401491912117</v>
      </c>
    </row>
    <row r="69" spans="4:8">
      <c r="D69" s="10" t="str">
        <f>INDEX(plate_readout!$A$2:$A$9, INT((ROW()-2)/(COLUMNS(plate_readout!$B$2:$M$9)))+1)</f>
        <v>F</v>
      </c>
      <c r="E69" s="10">
        <f>INDEX(plate_readout!$B$1:$M$1,MOD(ROW()-2,COLUMNS(plate_readout!$B$2:$M$9))+1)</f>
        <v>8</v>
      </c>
      <c r="F69" s="10">
        <f ca="1">INDEX(plate_readout!$B$2:$M$9, INT((ROW()-2)/COLUMNS(plate_readout!$B$2:$M$9))+1, MOD(ROW()-2, COLUMNS(plate_readout!$B$2:$M$9))+1)</f>
        <v>8.1893203759239626</v>
      </c>
      <c r="G69" s="10" t="str">
        <f>INDEX(plate_materials!$B$2:$M$9, INT((ROW()-2)/COLUMNS(plate_materials!$B$2:$M$9))+1, MOD(ROW()-2, COLUMNS(plate_materials!$B$2:$M$9))+1)</f>
        <v>M8</v>
      </c>
      <c r="H69" s="10">
        <f ca="1">INDEX(plate_metadata!$B$2:$M$9, INT((ROW()-2)/COLUMNS(plate_metadata!$B$2:$M$9))+1, MOD(ROW()-2, COLUMNS(plate_metadata!$B$2:$M$9))+1)</f>
        <v>8.1469857792781681</v>
      </c>
    </row>
    <row r="70" spans="4:8">
      <c r="D70" s="10" t="str">
        <f>INDEX(plate_readout!$A$2:$A$9, INT((ROW()-2)/(COLUMNS(plate_readout!$B$2:$M$9)))+1)</f>
        <v>F</v>
      </c>
      <c r="E70" s="10">
        <f>INDEX(plate_readout!$B$1:$M$1,MOD(ROW()-2,COLUMNS(plate_readout!$B$2:$M$9))+1)</f>
        <v>9</v>
      </c>
      <c r="F70" s="10">
        <f ca="1">INDEX(plate_readout!$B$2:$M$9, INT((ROW()-2)/COLUMNS(plate_readout!$B$2:$M$9))+1, MOD(ROW()-2, COLUMNS(plate_readout!$B$2:$M$9))+1)</f>
        <v>9.0083662772580606</v>
      </c>
      <c r="G70" s="10" t="str">
        <f>INDEX(plate_materials!$B$2:$M$9, INT((ROW()-2)/COLUMNS(plate_materials!$B$2:$M$9))+1, MOD(ROW()-2, COLUMNS(plate_materials!$B$2:$M$9))+1)</f>
        <v>M9</v>
      </c>
      <c r="H70" s="10">
        <f ca="1">INDEX(plate_metadata!$B$2:$M$9, INT((ROW()-2)/COLUMNS(plate_metadata!$B$2:$M$9))+1, MOD(ROW()-2, COLUMNS(plate_metadata!$B$2:$M$9))+1)</f>
        <v>9.730345463950334</v>
      </c>
    </row>
    <row r="71" spans="4:8">
      <c r="D71" s="10" t="str">
        <f>INDEX(plate_readout!$A$2:$A$9, INT((ROW()-2)/(COLUMNS(plate_readout!$B$2:$M$9)))+1)</f>
        <v>F</v>
      </c>
      <c r="E71" s="10">
        <f>INDEX(plate_readout!$B$1:$M$1,MOD(ROW()-2,COLUMNS(plate_readout!$B$2:$M$9))+1)</f>
        <v>10</v>
      </c>
      <c r="F71" s="10">
        <f ca="1">INDEX(plate_readout!$B$2:$M$9, INT((ROW()-2)/COLUMNS(plate_readout!$B$2:$M$9))+1, MOD(ROW()-2, COLUMNS(plate_readout!$B$2:$M$9))+1)</f>
        <v>10.822650487686529</v>
      </c>
      <c r="G71" s="10" t="str">
        <f>INDEX(plate_materials!$B$2:$M$9, INT((ROW()-2)/COLUMNS(plate_materials!$B$2:$M$9))+1, MOD(ROW()-2, COLUMNS(plate_materials!$B$2:$M$9))+1)</f>
        <v>M10</v>
      </c>
      <c r="H71" s="10">
        <f ca="1">INDEX(plate_metadata!$B$2:$M$9, INT((ROW()-2)/COLUMNS(plate_metadata!$B$2:$M$9))+1, MOD(ROW()-2, COLUMNS(plate_metadata!$B$2:$M$9))+1)</f>
        <v>10.563763165886112</v>
      </c>
    </row>
    <row r="72" spans="4:8">
      <c r="D72" s="10" t="str">
        <f>INDEX(plate_readout!$A$2:$A$9, INT((ROW()-2)/(COLUMNS(plate_readout!$B$2:$M$9)))+1)</f>
        <v>F</v>
      </c>
      <c r="E72" s="10">
        <f>INDEX(plate_readout!$B$1:$M$1,MOD(ROW()-2,COLUMNS(plate_readout!$B$2:$M$9))+1)</f>
        <v>11</v>
      </c>
      <c r="F72" s="10">
        <f ca="1">INDEX(plate_readout!$B$2:$M$9, INT((ROW()-2)/COLUMNS(plate_readout!$B$2:$M$9))+1, MOD(ROW()-2, COLUMNS(plate_readout!$B$2:$M$9))+1)</f>
        <v>11.2872441597886</v>
      </c>
      <c r="G72" s="10" t="str">
        <f>INDEX(plate_materials!$B$2:$M$9, INT((ROW()-2)/COLUMNS(plate_materials!$B$2:$M$9))+1, MOD(ROW()-2, COLUMNS(plate_materials!$B$2:$M$9))+1)</f>
        <v>M11</v>
      </c>
      <c r="H72" s="10">
        <f ca="1">INDEX(plate_metadata!$B$2:$M$9, INT((ROW()-2)/COLUMNS(plate_metadata!$B$2:$M$9))+1, MOD(ROW()-2, COLUMNS(plate_metadata!$B$2:$M$9))+1)</f>
        <v>11.924878773304297</v>
      </c>
    </row>
    <row r="73" spans="4:8">
      <c r="D73" s="10" t="str">
        <f>INDEX(plate_readout!$A$2:$A$9, INT((ROW()-2)/(COLUMNS(plate_readout!$B$2:$M$9)))+1)</f>
        <v>F</v>
      </c>
      <c r="E73" s="10">
        <f>INDEX(plate_readout!$B$1:$M$1,MOD(ROW()-2,COLUMNS(plate_readout!$B$2:$M$9))+1)</f>
        <v>12</v>
      </c>
      <c r="F73" s="10">
        <f ca="1">INDEX(plate_readout!$B$2:$M$9, INT((ROW()-2)/COLUMNS(plate_readout!$B$2:$M$9))+1, MOD(ROW()-2, COLUMNS(plate_readout!$B$2:$M$9))+1)</f>
        <v>12.985323625722073</v>
      </c>
      <c r="G73" s="10" t="str">
        <f>INDEX(plate_materials!$B$2:$M$9, INT((ROW()-2)/COLUMNS(plate_materials!$B$2:$M$9))+1, MOD(ROW()-2, COLUMNS(plate_materials!$B$2:$M$9))+1)</f>
        <v>M12</v>
      </c>
      <c r="H73" s="10">
        <f ca="1">INDEX(plate_metadata!$B$2:$M$9, INT((ROW()-2)/COLUMNS(plate_metadata!$B$2:$M$9))+1, MOD(ROW()-2, COLUMNS(plate_metadata!$B$2:$M$9))+1)</f>
        <v>12.336202822555155</v>
      </c>
    </row>
    <row r="74" spans="4:8">
      <c r="D74" s="10" t="str">
        <f>INDEX(plate_readout!$A$2:$A$9, INT((ROW()-2)/(COLUMNS(plate_readout!$B$2:$M$9)))+1)</f>
        <v>G</v>
      </c>
      <c r="E74" s="10">
        <f>INDEX(plate_readout!$B$1:$M$1,MOD(ROW()-2,COLUMNS(plate_readout!$B$2:$M$9))+1)</f>
        <v>1</v>
      </c>
      <c r="F74" s="10">
        <f ca="1">INDEX(plate_readout!$B$2:$M$9, INT((ROW()-2)/COLUMNS(plate_readout!$B$2:$M$9))+1, MOD(ROW()-2, COLUMNS(plate_readout!$B$2:$M$9))+1)</f>
        <v>1.0985103859486935</v>
      </c>
      <c r="G74" s="10" t="str">
        <f>INDEX(plate_materials!$B$2:$M$9, INT((ROW()-2)/COLUMNS(plate_materials!$B$2:$M$9))+1, MOD(ROW()-2, COLUMNS(plate_materials!$B$2:$M$9))+1)</f>
        <v>M1</v>
      </c>
      <c r="H74" s="10">
        <f ca="1">INDEX(plate_metadata!$B$2:$M$9, INT((ROW()-2)/COLUMNS(plate_metadata!$B$2:$M$9))+1, MOD(ROW()-2, COLUMNS(plate_metadata!$B$2:$M$9))+1)</f>
        <v>1.4663960047665943</v>
      </c>
    </row>
    <row r="75" spans="4:8">
      <c r="D75" s="10" t="str">
        <f>INDEX(plate_readout!$A$2:$A$9, INT((ROW()-2)/(COLUMNS(plate_readout!$B$2:$M$9)))+1)</f>
        <v>G</v>
      </c>
      <c r="E75" s="10">
        <f>INDEX(plate_readout!$B$1:$M$1,MOD(ROW()-2,COLUMNS(plate_readout!$B$2:$M$9))+1)</f>
        <v>2</v>
      </c>
      <c r="F75" s="10">
        <f ca="1">INDEX(plate_readout!$B$2:$M$9, INT((ROW()-2)/COLUMNS(plate_readout!$B$2:$M$9))+1, MOD(ROW()-2, COLUMNS(plate_readout!$B$2:$M$9))+1)</f>
        <v>2.0904355602603024</v>
      </c>
      <c r="G75" s="10" t="str">
        <f>INDEX(plate_materials!$B$2:$M$9, INT((ROW()-2)/COLUMNS(plate_materials!$B$2:$M$9))+1, MOD(ROW()-2, COLUMNS(plate_materials!$B$2:$M$9))+1)</f>
        <v>M2</v>
      </c>
      <c r="H75" s="10">
        <f ca="1">INDEX(plate_metadata!$B$2:$M$9, INT((ROW()-2)/COLUMNS(plate_metadata!$B$2:$M$9))+1, MOD(ROW()-2, COLUMNS(plate_metadata!$B$2:$M$9))+1)</f>
        <v>2.9628418806789742</v>
      </c>
    </row>
    <row r="76" spans="4:8">
      <c r="D76" s="10" t="str">
        <f>INDEX(plate_readout!$A$2:$A$9, INT((ROW()-2)/(COLUMNS(plate_readout!$B$2:$M$9)))+1)</f>
        <v>G</v>
      </c>
      <c r="E76" s="10">
        <f>INDEX(plate_readout!$B$1:$M$1,MOD(ROW()-2,COLUMNS(plate_readout!$B$2:$M$9))+1)</f>
        <v>3</v>
      </c>
      <c r="F76" s="10">
        <f ca="1">INDEX(plate_readout!$B$2:$M$9, INT((ROW()-2)/COLUMNS(plate_readout!$B$2:$M$9))+1, MOD(ROW()-2, COLUMNS(plate_readout!$B$2:$M$9))+1)</f>
        <v>3.0682422929106905</v>
      </c>
      <c r="G76" s="10" t="str">
        <f>INDEX(plate_materials!$B$2:$M$9, INT((ROW()-2)/COLUMNS(plate_materials!$B$2:$M$9))+1, MOD(ROW()-2, COLUMNS(plate_materials!$B$2:$M$9))+1)</f>
        <v>M3</v>
      </c>
      <c r="H76" s="10">
        <f ca="1">INDEX(plate_metadata!$B$2:$M$9, INT((ROW()-2)/COLUMNS(plate_metadata!$B$2:$M$9))+1, MOD(ROW()-2, COLUMNS(plate_metadata!$B$2:$M$9))+1)</f>
        <v>3.0888660435632342</v>
      </c>
    </row>
    <row r="77" spans="4:8">
      <c r="D77" s="10" t="str">
        <f>INDEX(plate_readout!$A$2:$A$9, INT((ROW()-2)/(COLUMNS(plate_readout!$B$2:$M$9)))+1)</f>
        <v>G</v>
      </c>
      <c r="E77" s="10">
        <f>INDEX(plate_readout!$B$1:$M$1,MOD(ROW()-2,COLUMNS(plate_readout!$B$2:$M$9))+1)</f>
        <v>4</v>
      </c>
      <c r="F77" s="10">
        <f ca="1">INDEX(plate_readout!$B$2:$M$9, INT((ROW()-2)/COLUMNS(plate_readout!$B$2:$M$9))+1, MOD(ROW()-2, COLUMNS(plate_readout!$B$2:$M$9))+1)</f>
        <v>4.5518913441146465</v>
      </c>
      <c r="G77" s="10" t="str">
        <f>INDEX(plate_materials!$B$2:$M$9, INT((ROW()-2)/COLUMNS(plate_materials!$B$2:$M$9))+1, MOD(ROW()-2, COLUMNS(plate_materials!$B$2:$M$9))+1)</f>
        <v>M4</v>
      </c>
      <c r="H77" s="10">
        <f ca="1">INDEX(plate_metadata!$B$2:$M$9, INT((ROW()-2)/COLUMNS(plate_metadata!$B$2:$M$9))+1, MOD(ROW()-2, COLUMNS(plate_metadata!$B$2:$M$9))+1)</f>
        <v>4.9370469689595282</v>
      </c>
    </row>
    <row r="78" spans="4:8">
      <c r="D78" s="10" t="str">
        <f>INDEX(plate_readout!$A$2:$A$9, INT((ROW()-2)/(COLUMNS(plate_readout!$B$2:$M$9)))+1)</f>
        <v>G</v>
      </c>
      <c r="E78" s="10">
        <f>INDEX(plate_readout!$B$1:$M$1,MOD(ROW()-2,COLUMNS(plate_readout!$B$2:$M$9))+1)</f>
        <v>5</v>
      </c>
      <c r="F78" s="10">
        <f ca="1">INDEX(plate_readout!$B$2:$M$9, INT((ROW()-2)/COLUMNS(plate_readout!$B$2:$M$9))+1, MOD(ROW()-2, COLUMNS(plate_readout!$B$2:$M$9))+1)</f>
        <v>5.7556153373510437</v>
      </c>
      <c r="G78" s="10" t="str">
        <f>INDEX(plate_materials!$B$2:$M$9, INT((ROW()-2)/COLUMNS(plate_materials!$B$2:$M$9))+1, MOD(ROW()-2, COLUMNS(plate_materials!$B$2:$M$9))+1)</f>
        <v>M5</v>
      </c>
      <c r="H78" s="10">
        <f ca="1">INDEX(plate_metadata!$B$2:$M$9, INT((ROW()-2)/COLUMNS(plate_metadata!$B$2:$M$9))+1, MOD(ROW()-2, COLUMNS(plate_metadata!$B$2:$M$9))+1)</f>
        <v>5.2603538323904715</v>
      </c>
    </row>
    <row r="79" spans="4:8">
      <c r="D79" s="10" t="str">
        <f>INDEX(plate_readout!$A$2:$A$9, INT((ROW()-2)/(COLUMNS(plate_readout!$B$2:$M$9)))+1)</f>
        <v>G</v>
      </c>
      <c r="E79" s="10">
        <f>INDEX(plate_readout!$B$1:$M$1,MOD(ROW()-2,COLUMNS(plate_readout!$B$2:$M$9))+1)</f>
        <v>6</v>
      </c>
      <c r="F79" s="10">
        <f ca="1">INDEX(plate_readout!$B$2:$M$9, INT((ROW()-2)/COLUMNS(plate_readout!$B$2:$M$9))+1, MOD(ROW()-2, COLUMNS(plate_readout!$B$2:$M$9))+1)</f>
        <v>6.4126592095908128</v>
      </c>
      <c r="G79" s="10" t="str">
        <f>INDEX(plate_materials!$B$2:$M$9, INT((ROW()-2)/COLUMNS(plate_materials!$B$2:$M$9))+1, MOD(ROW()-2, COLUMNS(plate_materials!$B$2:$M$9))+1)</f>
        <v>M6</v>
      </c>
      <c r="H79" s="10">
        <f ca="1">INDEX(plate_metadata!$B$2:$M$9, INT((ROW()-2)/COLUMNS(plate_metadata!$B$2:$M$9))+1, MOD(ROW()-2, COLUMNS(plate_metadata!$B$2:$M$9))+1)</f>
        <v>6.6471820520197848</v>
      </c>
    </row>
    <row r="80" spans="4:8">
      <c r="D80" s="10" t="str">
        <f>INDEX(plate_readout!$A$2:$A$9, INT((ROW()-2)/(COLUMNS(plate_readout!$B$2:$M$9)))+1)</f>
        <v>G</v>
      </c>
      <c r="E80" s="10">
        <f>INDEX(plate_readout!$B$1:$M$1,MOD(ROW()-2,COLUMNS(plate_readout!$B$2:$M$9))+1)</f>
        <v>7</v>
      </c>
      <c r="F80" s="10">
        <f ca="1">INDEX(plate_readout!$B$2:$M$9, INT((ROW()-2)/COLUMNS(plate_readout!$B$2:$M$9))+1, MOD(ROW()-2, COLUMNS(plate_readout!$B$2:$M$9))+1)</f>
        <v>7.0994490584663161</v>
      </c>
      <c r="G80" s="10" t="str">
        <f>INDEX(plate_materials!$B$2:$M$9, INT((ROW()-2)/COLUMNS(plate_materials!$B$2:$M$9))+1, MOD(ROW()-2, COLUMNS(plate_materials!$B$2:$M$9))+1)</f>
        <v>M7</v>
      </c>
      <c r="H80" s="10">
        <f ca="1">INDEX(plate_metadata!$B$2:$M$9, INT((ROW()-2)/COLUMNS(plate_metadata!$B$2:$M$9))+1, MOD(ROW()-2, COLUMNS(plate_metadata!$B$2:$M$9))+1)</f>
        <v>7.3892676992148489</v>
      </c>
    </row>
    <row r="81" spans="4:8">
      <c r="D81" s="10" t="str">
        <f>INDEX(plate_readout!$A$2:$A$9, INT((ROW()-2)/(COLUMNS(plate_readout!$B$2:$M$9)))+1)</f>
        <v>G</v>
      </c>
      <c r="E81" s="10">
        <f>INDEX(plate_readout!$B$1:$M$1,MOD(ROW()-2,COLUMNS(plate_readout!$B$2:$M$9))+1)</f>
        <v>8</v>
      </c>
      <c r="F81" s="10">
        <f ca="1">INDEX(plate_readout!$B$2:$M$9, INT((ROW()-2)/COLUMNS(plate_readout!$B$2:$M$9))+1, MOD(ROW()-2, COLUMNS(plate_readout!$B$2:$M$9))+1)</f>
        <v>8.7630972540605576</v>
      </c>
      <c r="G81" s="10" t="str">
        <f>INDEX(plate_materials!$B$2:$M$9, INT((ROW()-2)/COLUMNS(plate_materials!$B$2:$M$9))+1, MOD(ROW()-2, COLUMNS(plate_materials!$B$2:$M$9))+1)</f>
        <v>M8</v>
      </c>
      <c r="H81" s="10">
        <f ca="1">INDEX(plate_metadata!$B$2:$M$9, INT((ROW()-2)/COLUMNS(plate_metadata!$B$2:$M$9))+1, MOD(ROW()-2, COLUMNS(plate_metadata!$B$2:$M$9))+1)</f>
        <v>8.416602513207474</v>
      </c>
    </row>
    <row r="82" spans="4:8">
      <c r="D82" s="10" t="str">
        <f>INDEX(plate_readout!$A$2:$A$9, INT((ROW()-2)/(COLUMNS(plate_readout!$B$2:$M$9)))+1)</f>
        <v>G</v>
      </c>
      <c r="E82" s="10">
        <f>INDEX(plate_readout!$B$1:$M$1,MOD(ROW()-2,COLUMNS(plate_readout!$B$2:$M$9))+1)</f>
        <v>9</v>
      </c>
      <c r="F82" s="10">
        <f ca="1">INDEX(plate_readout!$B$2:$M$9, INT((ROW()-2)/COLUMNS(plate_readout!$B$2:$M$9))+1, MOD(ROW()-2, COLUMNS(plate_readout!$B$2:$M$9))+1)</f>
        <v>9.5713349525582583</v>
      </c>
      <c r="G82" s="10" t="str">
        <f>INDEX(plate_materials!$B$2:$M$9, INT((ROW()-2)/COLUMNS(plate_materials!$B$2:$M$9))+1, MOD(ROW()-2, COLUMNS(plate_materials!$B$2:$M$9))+1)</f>
        <v>M9</v>
      </c>
      <c r="H82" s="10">
        <f ca="1">INDEX(plate_metadata!$B$2:$M$9, INT((ROW()-2)/COLUMNS(plate_metadata!$B$2:$M$9))+1, MOD(ROW()-2, COLUMNS(plate_metadata!$B$2:$M$9))+1)</f>
        <v>9.597894313465293</v>
      </c>
    </row>
    <row r="83" spans="4:8">
      <c r="D83" s="10" t="str">
        <f>INDEX(plate_readout!$A$2:$A$9, INT((ROW()-2)/(COLUMNS(plate_readout!$B$2:$M$9)))+1)</f>
        <v>G</v>
      </c>
      <c r="E83" s="10">
        <f>INDEX(plate_readout!$B$1:$M$1,MOD(ROW()-2,COLUMNS(plate_readout!$B$2:$M$9))+1)</f>
        <v>10</v>
      </c>
      <c r="F83" s="10">
        <f ca="1">INDEX(plate_readout!$B$2:$M$9, INT((ROW()-2)/COLUMNS(plate_readout!$B$2:$M$9))+1, MOD(ROW()-2, COLUMNS(plate_readout!$B$2:$M$9))+1)</f>
        <v>10.822946463922062</v>
      </c>
      <c r="G83" s="10" t="str">
        <f>INDEX(plate_materials!$B$2:$M$9, INT((ROW()-2)/COLUMNS(plate_materials!$B$2:$M$9))+1, MOD(ROW()-2, COLUMNS(plate_materials!$B$2:$M$9))+1)</f>
        <v>M10</v>
      </c>
      <c r="H83" s="10">
        <f ca="1">INDEX(plate_metadata!$B$2:$M$9, INT((ROW()-2)/COLUMNS(plate_metadata!$B$2:$M$9))+1, MOD(ROW()-2, COLUMNS(plate_metadata!$B$2:$M$9))+1)</f>
        <v>10.590917904984055</v>
      </c>
    </row>
    <row r="84" spans="4:8">
      <c r="D84" s="10" t="str">
        <f>INDEX(plate_readout!$A$2:$A$9, INT((ROW()-2)/(COLUMNS(plate_readout!$B$2:$M$9)))+1)</f>
        <v>G</v>
      </c>
      <c r="E84" s="10">
        <f>INDEX(plate_readout!$B$1:$M$1,MOD(ROW()-2,COLUMNS(plate_readout!$B$2:$M$9))+1)</f>
        <v>11</v>
      </c>
      <c r="F84" s="10">
        <f ca="1">INDEX(plate_readout!$B$2:$M$9, INT((ROW()-2)/COLUMNS(plate_readout!$B$2:$M$9))+1, MOD(ROW()-2, COLUMNS(plate_readout!$B$2:$M$9))+1)</f>
        <v>11.966552672269628</v>
      </c>
      <c r="G84" s="10" t="str">
        <f>INDEX(plate_materials!$B$2:$M$9, INT((ROW()-2)/COLUMNS(plate_materials!$B$2:$M$9))+1, MOD(ROW()-2, COLUMNS(plate_materials!$B$2:$M$9))+1)</f>
        <v>M11</v>
      </c>
      <c r="H84" s="10">
        <f ca="1">INDEX(plate_metadata!$B$2:$M$9, INT((ROW()-2)/COLUMNS(plate_metadata!$B$2:$M$9))+1, MOD(ROW()-2, COLUMNS(plate_metadata!$B$2:$M$9))+1)</f>
        <v>11.127084166709516</v>
      </c>
    </row>
    <row r="85" spans="4:8">
      <c r="D85" s="10" t="str">
        <f>INDEX(plate_readout!$A$2:$A$9, INT((ROW()-2)/(COLUMNS(plate_readout!$B$2:$M$9)))+1)</f>
        <v>G</v>
      </c>
      <c r="E85" s="10">
        <f>INDEX(plate_readout!$B$1:$M$1,MOD(ROW()-2,COLUMNS(plate_readout!$B$2:$M$9))+1)</f>
        <v>12</v>
      </c>
      <c r="F85" s="10">
        <f ca="1">INDEX(plate_readout!$B$2:$M$9, INT((ROW()-2)/COLUMNS(plate_readout!$B$2:$M$9))+1, MOD(ROW()-2, COLUMNS(plate_readout!$B$2:$M$9))+1)</f>
        <v>12.44377856895999</v>
      </c>
      <c r="G85" s="10" t="str">
        <f>INDEX(plate_materials!$B$2:$M$9, INT((ROW()-2)/COLUMNS(plate_materials!$B$2:$M$9))+1, MOD(ROW()-2, COLUMNS(plate_materials!$B$2:$M$9))+1)</f>
        <v>M12</v>
      </c>
      <c r="H85" s="10">
        <f ca="1">INDEX(plate_metadata!$B$2:$M$9, INT((ROW()-2)/COLUMNS(plate_metadata!$B$2:$M$9))+1, MOD(ROW()-2, COLUMNS(plate_metadata!$B$2:$M$9))+1)</f>
        <v>12.174448471389603</v>
      </c>
    </row>
    <row r="86" spans="4:8">
      <c r="D86" s="10" t="str">
        <f>INDEX(plate_readout!$A$2:$A$9, INT((ROW()-2)/(COLUMNS(plate_readout!$B$2:$M$9)))+1)</f>
        <v>H</v>
      </c>
      <c r="E86" s="10">
        <f>INDEX(plate_readout!$B$1:$M$1,MOD(ROW()-2,COLUMNS(plate_readout!$B$2:$M$9))+1)</f>
        <v>1</v>
      </c>
      <c r="F86" s="10">
        <f ca="1">INDEX(plate_readout!$B$2:$M$9, INT((ROW()-2)/COLUMNS(plate_readout!$B$2:$M$9))+1, MOD(ROW()-2, COLUMNS(plate_readout!$B$2:$M$9))+1)</f>
        <v>1.6162904598852057</v>
      </c>
      <c r="G86" s="10" t="str">
        <f>INDEX(plate_materials!$B$2:$M$9, INT((ROW()-2)/COLUMNS(plate_materials!$B$2:$M$9))+1, MOD(ROW()-2, COLUMNS(plate_materials!$B$2:$M$9))+1)</f>
        <v>M1</v>
      </c>
      <c r="H86" s="10">
        <f ca="1">INDEX(plate_metadata!$B$2:$M$9, INT((ROW()-2)/COLUMNS(plate_metadata!$B$2:$M$9))+1, MOD(ROW()-2, COLUMNS(plate_metadata!$B$2:$M$9))+1)</f>
        <v>1.0514389400474535</v>
      </c>
    </row>
    <row r="87" spans="4:8">
      <c r="D87" s="10" t="str">
        <f>INDEX(plate_readout!$A$2:$A$9, INT((ROW()-2)/(COLUMNS(plate_readout!$B$2:$M$9)))+1)</f>
        <v>H</v>
      </c>
      <c r="E87" s="10">
        <f>INDEX(plate_readout!$B$1:$M$1,MOD(ROW()-2,COLUMNS(plate_readout!$B$2:$M$9))+1)</f>
        <v>2</v>
      </c>
      <c r="F87" s="10">
        <f ca="1">INDEX(plate_readout!$B$2:$M$9, INT((ROW()-2)/COLUMNS(plate_readout!$B$2:$M$9))+1, MOD(ROW()-2, COLUMNS(plate_readout!$B$2:$M$9))+1)</f>
        <v>2.3785493062266667</v>
      </c>
      <c r="G87" s="10" t="str">
        <f>INDEX(plate_materials!$B$2:$M$9, INT((ROW()-2)/COLUMNS(plate_materials!$B$2:$M$9))+1, MOD(ROW()-2, COLUMNS(plate_materials!$B$2:$M$9))+1)</f>
        <v>M2</v>
      </c>
      <c r="H87" s="10">
        <f ca="1">INDEX(plate_metadata!$B$2:$M$9, INT((ROW()-2)/COLUMNS(plate_metadata!$B$2:$M$9))+1, MOD(ROW()-2, COLUMNS(plate_metadata!$B$2:$M$9))+1)</f>
        <v>2.3264683951647029</v>
      </c>
    </row>
    <row r="88" spans="4:8">
      <c r="D88" s="10" t="str">
        <f>INDEX(plate_readout!$A$2:$A$9, INT((ROW()-2)/(COLUMNS(plate_readout!$B$2:$M$9)))+1)</f>
        <v>H</v>
      </c>
      <c r="E88" s="10">
        <f>INDEX(plate_readout!$B$1:$M$1,MOD(ROW()-2,COLUMNS(plate_readout!$B$2:$M$9))+1)</f>
        <v>3</v>
      </c>
      <c r="F88" s="10">
        <f ca="1">INDEX(plate_readout!$B$2:$M$9, INT((ROW()-2)/COLUMNS(plate_readout!$B$2:$M$9))+1, MOD(ROW()-2, COLUMNS(plate_readout!$B$2:$M$9))+1)</f>
        <v>3.862283495357504</v>
      </c>
      <c r="G88" s="10" t="str">
        <f>INDEX(plate_materials!$B$2:$M$9, INT((ROW()-2)/COLUMNS(plate_materials!$B$2:$M$9))+1, MOD(ROW()-2, COLUMNS(plate_materials!$B$2:$M$9))+1)</f>
        <v>M3</v>
      </c>
      <c r="H88" s="10">
        <f ca="1">INDEX(plate_metadata!$B$2:$M$9, INT((ROW()-2)/COLUMNS(plate_metadata!$B$2:$M$9))+1, MOD(ROW()-2, COLUMNS(plate_metadata!$B$2:$M$9))+1)</f>
        <v>3.8653794985343897</v>
      </c>
    </row>
    <row r="89" spans="4:8">
      <c r="D89" s="10" t="str">
        <f>INDEX(plate_readout!$A$2:$A$9, INT((ROW()-2)/(COLUMNS(plate_readout!$B$2:$M$9)))+1)</f>
        <v>H</v>
      </c>
      <c r="E89" s="10">
        <f>INDEX(plate_readout!$B$1:$M$1,MOD(ROW()-2,COLUMNS(plate_readout!$B$2:$M$9))+1)</f>
        <v>4</v>
      </c>
      <c r="F89" s="10">
        <f ca="1">INDEX(plate_readout!$B$2:$M$9, INT((ROW()-2)/COLUMNS(plate_readout!$B$2:$M$9))+1, MOD(ROW()-2, COLUMNS(plate_readout!$B$2:$M$9))+1)</f>
        <v>4.0892434375611746</v>
      </c>
      <c r="G89" s="10" t="str">
        <f>INDEX(plate_materials!$B$2:$M$9, INT((ROW()-2)/COLUMNS(plate_materials!$B$2:$M$9))+1, MOD(ROW()-2, COLUMNS(plate_materials!$B$2:$M$9))+1)</f>
        <v>M4</v>
      </c>
      <c r="H89" s="10">
        <f ca="1">INDEX(plate_metadata!$B$2:$M$9, INT((ROW()-2)/COLUMNS(plate_metadata!$B$2:$M$9))+1, MOD(ROW()-2, COLUMNS(plate_metadata!$B$2:$M$9))+1)</f>
        <v>4.6425386512982048</v>
      </c>
    </row>
    <row r="90" spans="4:8">
      <c r="D90" s="10" t="str">
        <f>INDEX(plate_readout!$A$2:$A$9, INT((ROW()-2)/(COLUMNS(plate_readout!$B$2:$M$9)))+1)</f>
        <v>H</v>
      </c>
      <c r="E90" s="10">
        <f>INDEX(plate_readout!$B$1:$M$1,MOD(ROW()-2,COLUMNS(plate_readout!$B$2:$M$9))+1)</f>
        <v>5</v>
      </c>
      <c r="F90" s="10">
        <f ca="1">INDEX(plate_readout!$B$2:$M$9, INT((ROW()-2)/COLUMNS(plate_readout!$B$2:$M$9))+1, MOD(ROW()-2, COLUMNS(plate_readout!$B$2:$M$9))+1)</f>
        <v>5.598063893606156</v>
      </c>
      <c r="G90" s="10" t="str">
        <f>INDEX(plate_materials!$B$2:$M$9, INT((ROW()-2)/COLUMNS(plate_materials!$B$2:$M$9))+1, MOD(ROW()-2, COLUMNS(plate_materials!$B$2:$M$9))+1)</f>
        <v>M5</v>
      </c>
      <c r="H90" s="10">
        <f ca="1">INDEX(plate_metadata!$B$2:$M$9, INT((ROW()-2)/COLUMNS(plate_metadata!$B$2:$M$9))+1, MOD(ROW()-2, COLUMNS(plate_metadata!$B$2:$M$9))+1)</f>
        <v>5.3872433916233602</v>
      </c>
    </row>
    <row r="91" spans="4:8">
      <c r="D91" s="10" t="str">
        <f>INDEX(plate_readout!$A$2:$A$9, INT((ROW()-2)/(COLUMNS(plate_readout!$B$2:$M$9)))+1)</f>
        <v>H</v>
      </c>
      <c r="E91" s="10">
        <f>INDEX(plate_readout!$B$1:$M$1,MOD(ROW()-2,COLUMNS(plate_readout!$B$2:$M$9))+1)</f>
        <v>6</v>
      </c>
      <c r="F91" s="10">
        <f ca="1">INDEX(plate_readout!$B$2:$M$9, INT((ROW()-2)/COLUMNS(plate_readout!$B$2:$M$9))+1, MOD(ROW()-2, COLUMNS(plate_readout!$B$2:$M$9))+1)</f>
        <v>6.4164722175401083</v>
      </c>
      <c r="G91" s="10" t="str">
        <f>INDEX(plate_materials!$B$2:$M$9, INT((ROW()-2)/COLUMNS(plate_materials!$B$2:$M$9))+1, MOD(ROW()-2, COLUMNS(plate_materials!$B$2:$M$9))+1)</f>
        <v>M6</v>
      </c>
      <c r="H91" s="10">
        <f ca="1">INDEX(plate_metadata!$B$2:$M$9, INT((ROW()-2)/COLUMNS(plate_metadata!$B$2:$M$9))+1, MOD(ROW()-2, COLUMNS(plate_metadata!$B$2:$M$9))+1)</f>
        <v>6.8073616011393483</v>
      </c>
    </row>
    <row r="92" spans="4:8">
      <c r="D92" s="10" t="str">
        <f>INDEX(plate_readout!$A$2:$A$9, INT((ROW()-2)/(COLUMNS(plate_readout!$B$2:$M$9)))+1)</f>
        <v>H</v>
      </c>
      <c r="E92" s="10">
        <f>INDEX(plate_readout!$B$1:$M$1,MOD(ROW()-2,COLUMNS(plate_readout!$B$2:$M$9))+1)</f>
        <v>7</v>
      </c>
      <c r="F92" s="10">
        <f ca="1">INDEX(plate_readout!$B$2:$M$9, INT((ROW()-2)/COLUMNS(plate_readout!$B$2:$M$9))+1, MOD(ROW()-2, COLUMNS(plate_readout!$B$2:$M$9))+1)</f>
        <v>7.2685463537779427</v>
      </c>
      <c r="G92" s="10" t="str">
        <f>INDEX(plate_materials!$B$2:$M$9, INT((ROW()-2)/COLUMNS(plate_materials!$B$2:$M$9))+1, MOD(ROW()-2, COLUMNS(plate_materials!$B$2:$M$9))+1)</f>
        <v>M7</v>
      </c>
      <c r="H92" s="10">
        <f ca="1">INDEX(plate_metadata!$B$2:$M$9, INT((ROW()-2)/COLUMNS(plate_metadata!$B$2:$M$9))+1, MOD(ROW()-2, COLUMNS(plate_metadata!$B$2:$M$9))+1)</f>
        <v>7.3858506772873556</v>
      </c>
    </row>
    <row r="93" spans="4:8">
      <c r="D93" s="10" t="str">
        <f>INDEX(plate_readout!$A$2:$A$9, INT((ROW()-2)/(COLUMNS(plate_readout!$B$2:$M$9)))+1)</f>
        <v>H</v>
      </c>
      <c r="E93" s="10">
        <f>INDEX(plate_readout!$B$1:$M$1,MOD(ROW()-2,COLUMNS(plate_readout!$B$2:$M$9))+1)</f>
        <v>8</v>
      </c>
      <c r="F93" s="10">
        <f ca="1">INDEX(plate_readout!$B$2:$M$9, INT((ROW()-2)/COLUMNS(plate_readout!$B$2:$M$9))+1, MOD(ROW()-2, COLUMNS(plate_readout!$B$2:$M$9))+1)</f>
        <v>8.4313672681743714</v>
      </c>
      <c r="G93" s="10" t="str">
        <f>INDEX(plate_materials!$B$2:$M$9, INT((ROW()-2)/COLUMNS(plate_materials!$B$2:$M$9))+1, MOD(ROW()-2, COLUMNS(plate_materials!$B$2:$M$9))+1)</f>
        <v>M8</v>
      </c>
      <c r="H93" s="10">
        <f ca="1">INDEX(plate_metadata!$B$2:$M$9, INT((ROW()-2)/COLUMNS(plate_metadata!$B$2:$M$9))+1, MOD(ROW()-2, COLUMNS(plate_metadata!$B$2:$M$9))+1)</f>
        <v>8.4945983526651645</v>
      </c>
    </row>
    <row r="94" spans="4:8">
      <c r="D94" s="10" t="str">
        <f>INDEX(plate_readout!$A$2:$A$9, INT((ROW()-2)/(COLUMNS(plate_readout!$B$2:$M$9)))+1)</f>
        <v>H</v>
      </c>
      <c r="E94" s="10">
        <f>INDEX(plate_readout!$B$1:$M$1,MOD(ROW()-2,COLUMNS(plate_readout!$B$2:$M$9))+1)</f>
        <v>9</v>
      </c>
      <c r="F94" s="10">
        <f ca="1">INDEX(plate_readout!$B$2:$M$9, INT((ROW()-2)/COLUMNS(plate_readout!$B$2:$M$9))+1, MOD(ROW()-2, COLUMNS(plate_readout!$B$2:$M$9))+1)</f>
        <v>9.4919880301886721</v>
      </c>
      <c r="G94" s="10" t="str">
        <f>INDEX(plate_materials!$B$2:$M$9, INT((ROW()-2)/COLUMNS(plate_materials!$B$2:$M$9))+1, MOD(ROW()-2, COLUMNS(plate_materials!$B$2:$M$9))+1)</f>
        <v>M9</v>
      </c>
      <c r="H94" s="10">
        <f ca="1">INDEX(plate_metadata!$B$2:$M$9, INT((ROW()-2)/COLUMNS(plate_metadata!$B$2:$M$9))+1, MOD(ROW()-2, COLUMNS(plate_metadata!$B$2:$M$9))+1)</f>
        <v>9.4315825039543171</v>
      </c>
    </row>
    <row r="95" spans="4:8">
      <c r="D95" s="10" t="str">
        <f>INDEX(plate_readout!$A$2:$A$9, INT((ROW()-2)/(COLUMNS(plate_readout!$B$2:$M$9)))+1)</f>
        <v>H</v>
      </c>
      <c r="E95" s="10">
        <f>INDEX(plate_readout!$B$1:$M$1,MOD(ROW()-2,COLUMNS(plate_readout!$B$2:$M$9))+1)</f>
        <v>10</v>
      </c>
      <c r="F95" s="10">
        <f ca="1">INDEX(plate_readout!$B$2:$M$9, INT((ROW()-2)/COLUMNS(plate_readout!$B$2:$M$9))+1, MOD(ROW()-2, COLUMNS(plate_readout!$B$2:$M$9))+1)</f>
        <v>10.66844112367143</v>
      </c>
      <c r="G95" s="10" t="str">
        <f>INDEX(plate_materials!$B$2:$M$9, INT((ROW()-2)/COLUMNS(plate_materials!$B$2:$M$9))+1, MOD(ROW()-2, COLUMNS(plate_materials!$B$2:$M$9))+1)</f>
        <v>M10</v>
      </c>
      <c r="H95" s="10">
        <f ca="1">INDEX(plate_metadata!$B$2:$M$9, INT((ROW()-2)/COLUMNS(plate_metadata!$B$2:$M$9))+1, MOD(ROW()-2, COLUMNS(plate_metadata!$B$2:$M$9))+1)</f>
        <v>10.033821668957932</v>
      </c>
    </row>
    <row r="96" spans="4:8">
      <c r="D96" s="10" t="str">
        <f>INDEX(plate_readout!$A$2:$A$9, INT((ROW()-2)/(COLUMNS(plate_readout!$B$2:$M$9)))+1)</f>
        <v>H</v>
      </c>
      <c r="E96" s="10">
        <f>INDEX(plate_readout!$B$1:$M$1,MOD(ROW()-2,COLUMNS(plate_readout!$B$2:$M$9))+1)</f>
        <v>11</v>
      </c>
      <c r="F96" s="10">
        <f ca="1">INDEX(plate_readout!$B$2:$M$9, INT((ROW()-2)/COLUMNS(plate_readout!$B$2:$M$9))+1, MOD(ROW()-2, COLUMNS(plate_readout!$B$2:$M$9))+1)</f>
        <v>11.826742356245823</v>
      </c>
      <c r="G96" s="10" t="str">
        <f>INDEX(plate_materials!$B$2:$M$9, INT((ROW()-2)/COLUMNS(plate_materials!$B$2:$M$9))+1, MOD(ROW()-2, COLUMNS(plate_materials!$B$2:$M$9))+1)</f>
        <v>M11</v>
      </c>
      <c r="H96" s="10">
        <f ca="1">INDEX(plate_metadata!$B$2:$M$9, INT((ROW()-2)/COLUMNS(plate_metadata!$B$2:$M$9))+1, MOD(ROW()-2, COLUMNS(plate_metadata!$B$2:$M$9))+1)</f>
        <v>11.836975779693146</v>
      </c>
    </row>
    <row r="97" spans="4:8">
      <c r="D97" s="10" t="str">
        <f>INDEX(plate_readout!$A$2:$A$9, INT((ROW()-2)/(COLUMNS(plate_readout!$B$2:$M$9)))+1)</f>
        <v>H</v>
      </c>
      <c r="E97" s="10">
        <f>INDEX(plate_readout!$B$1:$M$1,MOD(ROW()-2,COLUMNS(plate_readout!$B$2:$M$9))+1)</f>
        <v>12</v>
      </c>
      <c r="F97" s="10" t="str">
        <f>INDEX(plate_readout!$B$2:$M$9, INT((ROW()-2)/COLUMNS(plate_readout!$B$2:$M$9))+1, MOD(ROW()-2, COLUMNS(plate_readout!$B$2:$M$9))+1)</f>
        <v>h12</v>
      </c>
      <c r="G97" s="10" t="str">
        <f>INDEX(plate_materials!$B$2:$M$9, INT((ROW()-2)/COLUMNS(plate_materials!$B$2:$M$9))+1, MOD(ROW()-2, COLUMNS(plate_materials!$B$2:$M$9))+1)</f>
        <v>M12</v>
      </c>
      <c r="H97" s="10">
        <f ca="1">INDEX(plate_metadata!$B$2:$M$9, INT((ROW()-2)/COLUMNS(plate_metadata!$B$2:$M$9))+1, MOD(ROW()-2, COLUMNS(plate_metadata!$B$2:$M$9))+1)</f>
        <v>12.560009852263768</v>
      </c>
    </row>
  </sheetData>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heetViews>
  <sheetFormatPr defaultRowHeight="14.4"/>
  <sheetData>
    <row r="1" spans="1:2">
      <c r="A1" t="s">
        <v>251</v>
      </c>
      <c r="B1" t="s">
        <v>252</v>
      </c>
    </row>
    <row r="2" spans="1:2">
      <c r="A2" t="s">
        <v>253</v>
      </c>
      <c r="B2" s="31" t="s">
        <v>254</v>
      </c>
    </row>
    <row r="3" spans="1:2">
      <c r="A3" t="s">
        <v>255</v>
      </c>
      <c r="B3" t="s">
        <v>256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Test_conditions</vt:lpstr>
      <vt:lpstr>Raw_data_TABLE</vt:lpstr>
      <vt:lpstr>Results_TABLE</vt:lpstr>
      <vt:lpstr>Materials</vt:lpstr>
      <vt:lpstr>plate_metadata</vt:lpstr>
      <vt:lpstr>plate_readout</vt:lpstr>
      <vt:lpstr>plate_materials</vt:lpstr>
      <vt:lpstr>plate_table</vt:lpstr>
      <vt:lpstr>TemplateDesigner</vt:lpstr>
      <vt:lpstr>ERM_Identifiers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Nina Jeliazkova</cp:lastModifiedBy>
  <dcterms:created xsi:type="dcterms:W3CDTF">2026-02-16T13:49:16Z</dcterms:created>
  <dcterms:modified xsi:type="dcterms:W3CDTF">2026-02-16T13:55:44Z</dcterms:modified>
</cp:coreProperties>
</file>